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anilonovais/Desktop/NESTLE_ABRAFARMA_FUTURE_TRENDS_2026/02_SOURCE_MATERIALS/"/>
    </mc:Choice>
  </mc:AlternateContent>
  <xr:revisionPtr revIDLastSave="0" documentId="13_ncr:1_{99CE9D96-F8FE-084B-A251-8574FD41BB02}" xr6:coauthVersionLast="47" xr6:coauthVersionMax="47" xr10:uidLastSave="{00000000-0000-0000-0000-000000000000}"/>
  <bookViews>
    <workbookView xWindow="0" yWindow="600" windowWidth="38400" windowHeight="19600" activeTab="2" xr2:uid="{00000000-000D-0000-FFFF-FFFF00000000}"/>
  </bookViews>
  <sheets>
    <sheet name="Table 1" sheetId="1" r:id="rId1"/>
    <sheet name="Referências de fontes" sheetId="2" r:id="rId2"/>
    <sheet name="Curadoria por Produ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F3" i="3"/>
</calcChain>
</file>

<file path=xl/sharedStrings.xml><?xml version="1.0" encoding="utf-8"?>
<sst xmlns="http://schemas.openxmlformats.org/spreadsheetml/2006/main" count="750" uniqueCount="526">
  <si>
    <t>Product Category</t>
  </si>
  <si>
    <t>Reference Title</t>
  </si>
  <si>
    <t>Format</t>
  </si>
  <si>
    <t>Visual Technique</t>
  </si>
  <si>
    <t>Scene Construction</t>
  </si>
  <si>
    <t>Movement Potential</t>
  </si>
  <si>
    <t>Nano Banana Application</t>
  </si>
  <si>
    <t>Why it is Relevant</t>
  </si>
  <si>
    <t>Link</t>
  </si>
  <si>
    <t>Source</t>
  </si>
  <si>
    <t>Beverages / Liquids</t>
  </si>
  <si>
    <t>Beverage Pour Commercial</t>
  </si>
  <si>
    <t>AI-generated content</t>
  </si>
  <si>
    <t>Liquid motion (slow-motion pour)</t>
  </si>
  <si>
    <t>Close-up of iced coffee pouring into a clear glass with bubbles and condensation; warm amber highlights from backlighting on a tabletop cafe bar with shallow depth of field.</t>
  </si>
  <si>
    <t>The slow-motion flow of liquid, movement of condensation droplets, and clinking of ice cubes within the glass.</t>
  </si>
  <si>
    <t>The backlighting and texture details (bubbles/condensation) can define the high-fidelity lighting and material properties of a keyframe.</t>
  </si>
  <si>
    <t>It focuses on sensory textures and convincing liquid dynamics which are essential for premium beverage advertising.</t>
  </si>
  <si>
    <t>https://skywork.ai/blog/google-veo-3-prompt-examples-2025/#beverage-pour-commercial</t>
  </si>
  <si>
    <t>1</t>
  </si>
  <si>
    <t>Ingredients to Video Liquid Cohesion</t>
  </si>
  <si>
    <t>CGI / AI-Generated</t>
  </si>
  <si>
    <t>Fluid simulation / Liquid splash</t>
  </si>
  <si>
    <t>A unified 3D volume where lighting and physics are calculated across the entire duration to ensure temporal coherence and natural motion dynamics.</t>
  </si>
  <si>
    <t>Veo 3.1 can animate large liquid splashes with proper weight and momentum, ensuring physical consistency as the liquid moves or camera angles change.</t>
  </si>
  <si>
    <t>Generate high-fidelity keyframes of the hero product surrounded by liquid to serve as the 'ingredient' for the video generation process.</t>
  </si>
  <si>
    <t>Ensures that fluid movements in premium beverage ads do not suffer from frame-to-frame flickering or unrealistic physics.</t>
  </si>
  <si>
    <t>https://storage.googleapis.com/gweb-uniblog-publish-prod/original_videos/Ingredients_to_Video.mp4</t>
  </si>
  <si>
    <t>2, 3</t>
  </si>
  <si>
    <t>Chocolate drinks</t>
  </si>
  <si>
    <t>Cinematic Liquid Splash Animation</t>
  </si>
  <si>
    <t>Motion design / CGI</t>
  </si>
  <si>
    <t>Liquid splash / Fluid simulation</t>
  </si>
  <si>
    <t>Hero product centered with high-speed fluid simulations colliding to create symmetrical splashes against a monochromatic background.</t>
  </si>
  <si>
    <t>Veo 3 can animate the 'Dolly Zoom' effect and millisecond-precision fluid collisions through structured JSON prompting.</t>
  </si>
  <si>
    <t>Inspire high-fidelity keyframes where lighting and liquid physics are defined by atomic scene processing.</t>
  </si>
  <si>
    <t>Creates high-impact visual hooks for LED screens by utilizing professional shot composition like macro focus on textures.</t>
  </si>
  <si>
    <t>https://solvingtools.github.io/JSON-Prompt-Gen/app.html</t>
  </si>
  <si>
    <t>4, 5</t>
  </si>
  <si>
    <t>Nutritional supplements</t>
  </si>
  <si>
    <t>Powder Explosion &amp; Ingredient Orbit</t>
  </si>
  <si>
    <t>CGI / Commercial film</t>
  </si>
  <si>
    <t>Powder explosion / Floating ingredients</t>
  </si>
  <si>
    <t>A central supplement jar with ingredients like grains and vitamins orbiting in a zero-gravity space with dramatic rim lighting.</t>
  </si>
  <si>
    <t>Veo 3 can handle the 'Orbit' camera movement and 'Crane Shot' to follow particles without character or prop morphing.</t>
  </si>
  <si>
    <t>Provides a blueprint for generating explosive ingredient textures with consistent lighting across multiple scenes.</t>
  </si>
  <si>
    <t>Establishes premium brand identity through technical precision in particle physics and depth effects like foreground blur.</t>
  </si>
  <si>
    <t>https://solvingtools.github.io/JSON-Prompt-Gen/src/blog/veo-json-prompt-guide/</t>
  </si>
  <si>
    <t>Nutren Senior Product Reveal</t>
  </si>
  <si>
    <t>Commercial film</t>
  </si>
  <si>
    <t>Product reveal / Turntable</t>
  </si>
  <si>
    <t>The product is revealed through a slow rotation (turntable) with volumetric reflections highlighting the can's design, using shallow depth of field (DOF) to isolate the subject.</t>
  </si>
  <si>
    <t>Veo 3 can animate the rotation of the packaging and the progression of rim lighting across the metallic textures of the can.</t>
  </si>
  <si>
    <t>Inspires the construction of high-end studio lighting setups (rim lighting) for generated keyframes.</t>
  </si>
  <si>
    <t>Utilizes depth of field and controlled lighting to create a premium, scientific, and trustworthy aesthetic for supplements.</t>
  </si>
  <si>
    <t>https://www.youtube.com/watch?v=Dar9RcbNtSU</t>
  </si>
  <si>
    <t>6</t>
  </si>
  <si>
    <t>Coffee drinks</t>
  </si>
  <si>
    <t>Animated Latte Art 3D Transformation</t>
  </si>
  <si>
    <t>Motion Design / CGI</t>
  </si>
  <si>
    <t>Product-to-Object Transformation</t>
  </si>
  <si>
    <t>Liquid latte art on the surface of a coffee cup morphs and rises into a miniature 3D castle made entirely of foam and latte.</t>
  </si>
  <si>
    <t>Veo 3 can handle the fluid simulation of the surface rising and the intricate architectural details forming from liquid.</t>
  </si>
  <si>
    <t>Generate an image of a coffee surface where foam patterns begin to take three-dimensional, structured shapes.</t>
  </si>
  <si>
    <t>Shows the potential for 'ingredient-to-object' transformations, a key high-impact visual for beverage advertising.</t>
  </si>
  <si>
    <t>https://deepmind.google/models/veo/</t>
  </si>
  <si>
    <t>7</t>
  </si>
  <si>
    <t>Dairy beverages</t>
  </si>
  <si>
    <t>Macro Ingredient Photography - Milk Textures</t>
  </si>
  <si>
    <t>Image / AI-generated content</t>
  </si>
  <si>
    <t>Macro texture / Fluid simulation</t>
  </si>
  <si>
    <t>Extreme close-up on the surface of the liquid with soft morning light and shallow depth of field (bokeh effects).</t>
  </si>
  <si>
    <t>Veo 3 can animate the subtle surface tension and macro-lens shifts like 'Rack Focus' between the liquid and the label.</t>
  </si>
  <si>
    <t>Uses the 10-category framework to detail lighting, mood, and physical characteristics for hyper-realistic dairy textures.</t>
  </si>
  <si>
    <t>Focuses on 'Visual Innovation' by using time manipulation like slow motion to showcase product quality.</t>
  </si>
  <si>
    <t>https://solvingtools.github.io/JSON-Prompt-Gen/dictionary.html</t>
  </si>
  <si>
    <t>Vitamins and wellness</t>
  </si>
  <si>
    <t>Luxury Skincare Serum Reveal</t>
  </si>
  <si>
    <t>CGI / Motion Design</t>
  </si>
  <si>
    <t>Product Reveal / Slow Rotation</t>
  </si>
  <si>
    <t>Overhead shot of luxury skincare serum on white marble surface with scattered rose petals. Soft window light from left creates elegant highlights on glass.</t>
  </si>
  <si>
    <t>Bottle slowly rotates 180 degrees showing all angles; rose petals could subtly flutter using Veo 3.1.</t>
  </si>
  <si>
    <t>Inspire the generation of a high-fidelity keyframe of a glass bottle with realistic reflections on marble.</t>
  </si>
  <si>
    <t>Demonstrates premium product presentation through clean lighting and material contrast (glass vs. stone).</t>
  </si>
  <si>
    <t>https://ltx.io/blog/veo-prompt-guide</t>
  </si>
  <si>
    <t>8</t>
  </si>
  <si>
    <t>Chocolate and Confectionery</t>
  </si>
  <si>
    <t>Gourmet Food Texture Reveal</t>
  </si>
  <si>
    <t>Motion Design / Macro</t>
  </si>
  <si>
    <t>Macro texture / Camera Descent</t>
  </si>
  <si>
    <t>Overhead shot of food on dark slate board. Camera slowly descends closer, revealing texture details. Dramatic food photography with hard side lighting.</t>
  </si>
  <si>
    <t>Vertical camera descent (dolly) into the product to reveal macro textures; steam or heat shimmer effects.</t>
  </si>
  <si>
    <t>Generation of a macro keyframe focusing on the hyper-realistic texture of the ingredient surface.</t>
  </si>
  <si>
    <t>Focuses on 'texture reveal' which is essential for chocolate and confectionery advertising.</t>
  </si>
  <si>
    <t>Cereals and Grains</t>
  </si>
  <si>
    <t>Corn Stalk Macro</t>
  </si>
  <si>
    <t>Image</t>
  </si>
  <si>
    <t>Macro Texture</t>
  </si>
  <si>
    <t>A professional 4K HDR photo of a corn stalk, utilizing sharp focus and natural lighting to emphasize organic detail.</t>
  </si>
  <si>
    <t>Veo 3 can be used for a slow-motion sway of the grain or a camera push-in through the leaves toward the product.</t>
  </si>
  <si>
    <t>Inspires the creation of ultra-detailed raw ingredient environments used in natural nutrition advertising.</t>
  </si>
  <si>
    <t>Demonstrates the use of high-quality modifiers (4K, HDR) to achieve a professional photographer look.</t>
  </si>
  <si>
    <t>https://ai.google.dev/gemini-api/docs/imagen#advanced-prompts</t>
  </si>
  <si>
    <t>9</t>
  </si>
  <si>
    <t>Product Transitions</t>
  </si>
  <si>
    <t>Iron Man Style Arm Assembly Transition</t>
  </si>
  <si>
    <t>AI-Generated Content</t>
  </si>
  <si>
    <t>Product-to-product transition</t>
  </si>
  <si>
    <t>A first frame showing a biological arm and a last frame showing a robotic arm; the AI fills the gap with shifting mechanical parts and steam.</t>
  </si>
  <si>
    <t>Veo 3 manages the 'First and Last Frame' generation to create complex, mechanical transitions with orbiting camera motion.</t>
  </si>
  <si>
    <t>Used to create the specific 'Last Frame' (e.g., transforming an ingredient into a finished packshot).</t>
  </si>
  <si>
    <t>Shows how to achieve visually strong, complex mechanical transitions without manual 3D modeling.</t>
  </si>
  <si>
    <t>https://youtu.be/npn3wb_8gpU</t>
  </si>
  <si>
    <t>10</t>
  </si>
  <si>
    <t>Whip-Pan Match Cut Energy Pair</t>
  </si>
  <si>
    <t>Motion Design / Packshot Animation</t>
  </si>
  <si>
    <t>Dynamic Transitions</t>
  </si>
  <si>
    <t>Starts on the product with a rapid pan right mid-clip creating motion blur; second clip starts on a similar framing in a new environment.</t>
  </si>
  <si>
    <t>Veo 3 creates consistent motion blur mid-transition to hide the cut between two distinct scenes.</t>
  </si>
  <si>
    <t>Ensures the starting and ending frames of the transition have matching color palettes and lighting cues.</t>
  </si>
  <si>
    <t>Allows for high-energy switching between different product variants without losing focus on the hero.</t>
  </si>
  <si>
    <t>https://skywork.ai/blog/veo-3-1-prompt-patterns-shot-lists-camera-moves-lighting-cues/</t>
  </si>
  <si>
    <t>11</t>
  </si>
  <si>
    <t>General Product / Ads</t>
  </si>
  <si>
    <t>Precise Video Instance Insertion (PISCO)</t>
  </si>
  <si>
    <t>CGI / AI-generated content</t>
  </si>
  <si>
    <t>Product reveal / Fluid simulation</t>
  </si>
  <si>
    <t>The scene features a specific object (instance) inserted into a clean background video with physically consistent shadows, reflections, and illumination changes.</t>
  </si>
  <si>
    <t>Veo 3 can animate the inserted object's appearance, motion, and interaction with the background using sparse keyframe control.</t>
  </si>
  <si>
    <t>Nano Banana Pro can be used to generate the high-fidelity source 'instance' image for spatial-temporal placement.</t>
  </si>
  <si>
    <t>Demonstrates precise control over inserting dynamic products into existing footage while maintaining background integrity.</t>
  </si>
  <si>
    <t>https://xiangbogaobarry.github.io/PISCO/</t>
  </si>
  <si>
    <t>12</t>
  </si>
  <si>
    <t>Native Vertical Product Reveal</t>
  </si>
  <si>
    <t>Native 9:16 Video</t>
  </si>
  <si>
    <t>Product reveal / Dynamic framing</t>
  </si>
  <si>
    <t>Compositions built from the ground up for vertical aspect ratios, ensuring hero products remain centered and action flows naturally within the canvas.</t>
  </si>
  <si>
    <t>Optimized for mobile-first platforms like TikTok/Shorts, allowing for camera-directed pans and zooms tailored for the narrow frame.</t>
  </si>
  <si>
    <t>Use to generate vertical hero compositions that account for the 9:16 focus before the animation phase.</t>
  </si>
  <si>
    <t>Eliminates the 'awkward cropping' of high-end advertising content when adapted for social media mobile displays.</t>
  </si>
  <si>
    <t>https://commons.wikimedia.org/wiki/File:Google_Veo.png</t>
  </si>
  <si>
    <t>2</t>
  </si>
  <si>
    <t>Ingredients / Nature</t>
  </si>
  <si>
    <t>Sizzling Pan Macro Texture</t>
  </si>
  <si>
    <t>CGI / Commercial Film</t>
  </si>
  <si>
    <t>Macro Texture / Fluid Interaction</t>
  </si>
  <si>
    <t>A slow pan focusing intently on diced onions hitting a scorching hot pan with dramatic visual sizzle and heat interaction.</t>
  </si>
  <si>
    <t>Veo 3 can animate the realistic physics of the sizzle and the steam rising from the contact point.</t>
  </si>
  <si>
    <t>Inspire a macro shot of ingredients interacting with a surface, focusing on detail, steam, and light refraction.</t>
  </si>
  <si>
    <t>Focuses on 'macro ingredient photography' and realistic physical interactions between ingredients and surfaces.</t>
  </si>
  <si>
    <t>Índice</t>
  </si>
  <si>
    <t>Referência</t>
  </si>
  <si>
    <t>18 Essential Google Veo 3 Prompt Examples (2025) for Cinematic AI Videos - Skywork</t>
  </si>
  <si>
    <t>Google Veo 3.1 4K Guide: Master the "Ingredients to Video...</t>
  </si>
  <si>
    <t>3</t>
  </si>
  <si>
    <t>New ways to create and refine content in Flow - Google Blog</t>
  </si>
  <si>
    <t>4</t>
  </si>
  <si>
    <t>The Ultimate Guide to Veo 3.1 JSON Prompt Structure – From Beginner to Pro</t>
  </si>
  <si>
    <t>5</t>
  </si>
  <si>
    <t>veo3-assistant-system-prompt.md</t>
  </si>
  <si>
    <t>Research report: Nestlé Abrafarma Future Trends 2026</t>
  </si>
  <si>
    <t>Veo 3.1 — Google DeepMind</t>
  </si>
  <si>
    <t>Veo 3.1 Prompt Guide: Best Veo 3.1 Prompts | LTX Blog</t>
  </si>
  <si>
    <t>Generate images using Imagen | Gemini API | Google AI for Developers</t>
  </si>
  <si>
    <t>How to Prompt Veo 3.1 Correctly: 95% of People Get It Wrong!</t>
  </si>
  <si>
    <t>Prompt Patterns for Veo 3.1: Shot Lists, Camera Moves, and Lighting Cues That Work</t>
  </si>
  <si>
    <t>PISCO: Precise Video Instance Insertion with Sparse Control - arXiv</t>
  </si>
  <si>
    <t>CURADORIA DE REFERÊNCIAS — PRODUCT ADVERTISING / NANO BANANA + VEO 3</t>
  </si>
  <si>
    <t>Seleção baseada nos arquivos anexos e verificada na web em 05/08/2026. Repetições são intencionais para acelerar a reutilização entre categorias. Todas as linhas são curadoria técnica; não há recomendações pessoais.</t>
  </si>
  <si>
    <t>Tipos de produto</t>
  </si>
  <si>
    <t>Linhas curadas</t>
  </si>
  <si>
    <t>Referências únicas</t>
  </si>
  <si>
    <t>Links verificados</t>
  </si>
  <si>
    <t>Critério principal</t>
  </si>
  <si>
    <t>Aderência + atualidade + qualidade da fonte</t>
  </si>
  <si>
    <t>Legenda de aderência: A — direta = mesma categoria ou execução imediata; B — transversal = técnica reutilizável em mais de uma categoria; C — técnica/LED = referência de formato, perspectiva, loop ou exibição.</t>
  </si>
  <si>
    <t>Aderência</t>
  </si>
  <si>
    <t>Tipo de produto</t>
  </si>
  <si>
    <t>Produtos do projeto</t>
  </si>
  <si>
    <t>Ref ID</t>
  </si>
  <si>
    <t>Fonte</t>
  </si>
  <si>
    <t>Ano</t>
  </si>
  <si>
    <t>Formato</t>
  </si>
  <si>
    <t>Técnica / construção de cena</t>
  </si>
  <si>
    <t>Aplicação no KV / Nano Banana</t>
  </si>
  <si>
    <t>Movimento sugerido / Veo 3</t>
  </si>
  <si>
    <t>Reuso em produção</t>
  </si>
  <si>
    <t>Origem da curadoria</t>
  </si>
  <si>
    <t>Link direto</t>
  </si>
  <si>
    <t>Status editorial</t>
  </si>
  <si>
    <t>A — direta</t>
  </si>
  <si>
    <t>Achocolatados e chocolate</t>
  </si>
  <si>
    <t>Nestlé Chocolates; Nescau Protein RTD; conteúdos com cacau</t>
  </si>
  <si>
    <t>REF-001</t>
  </si>
  <si>
    <t>Breakfast Essentials — 3D Product Animation</t>
  </si>
  <si>
    <t>Behance / Hanna Norova</t>
  </si>
  <si>
    <t>2025</t>
  </si>
  <si>
    <t>3D product animation</t>
  </si>
  <si>
    <t>Packshot central, chocolate líquido, serving glass e iluminação energética.</t>
  </si>
  <si>
    <t>Usar como referência de keyframe com embalagem bloqueada, splash de chocolate e elementos de sabor em camadas.</t>
  </si>
  <si>
    <t>Animar splash/pour em slow motion, orbitais de chocolate e push-in controlado sem mover o rótulo.</t>
  </si>
  <si>
    <t>Master para achocolatados líquidos e RTD.</t>
  </si>
  <si>
    <t>Complemento web verificado</t>
  </si>
  <si>
    <t>https://www.behance.net/gallery/234819051/Breakfast-Essentials-3D-Product-Animation</t>
  </si>
  <si>
    <t>Curado e verificado</t>
  </si>
  <si>
    <t>Nestlé Chocolates; conteúdos de wafer, barras e texturas</t>
  </si>
  <si>
    <t>REF-002</t>
  </si>
  <si>
    <t>Gandour Unica Max — Chocolate Wafer Animation</t>
  </si>
  <si>
    <t>XO3D Studio</t>
  </si>
  <si>
    <t>2024</t>
  </si>
  <si>
    <t>Hero film + packshots CGI</t>
  </si>
  <si>
    <t>Revelação de camadas, snap do wafer, coating de chocolate e fechamento pack-led.</t>
  </si>
  <si>
    <t>Criar frames de produto inteiro, corte macro e composição de linha com o mesmo setup.</t>
  </si>
  <si>
    <t>Separar camadas, simular quebra/crumbs e retornar ao packshot final para transição.</t>
  </si>
  <si>
    <t>Master para chocolates, barras e três ou mais SKUs.</t>
  </si>
  <si>
    <t>Arquivo anexo + verificação web</t>
  </si>
  <si>
    <t>https://xo3d.co.uk/case-studies/gandour-chocolate-wafer-animation/</t>
  </si>
  <si>
    <t>Nestlé Chocolates; campanhas com amêndoas, cacau e cremosidade</t>
  </si>
  <si>
    <t>REF-003</t>
  </si>
  <si>
    <t>Magnum Almond Ice Cream Pour CGI</t>
  </si>
  <si>
    <t>Behance / Loshak Studio</t>
  </si>
  <si>
    <t>CGI fluid simulation</t>
  </si>
  <si>
    <t>Chocolate de alta viscosidade, almond dust, fragmentos suspensos e macro textura.</t>
  </si>
  <si>
    <t>Gerar frame hero com fluxo controlado contornando o produto sem cobrir marca ou claims.</t>
  </si>
  <si>
    <t>Fazer o chocolate escorrer, envolver e revelar; partículas secas entram em contramovimento.</t>
  </si>
  <si>
    <t>Master para fluidos densos e ingredientes suspensos.</t>
  </si>
  <si>
    <t>https://www.behance.net/gallery/208695273/Magnum-Almond-Ice-Cream-Pour-CGI</t>
  </si>
  <si>
    <t>B — transversal</t>
  </si>
  <si>
    <t>Nestlé Chocolates; Nescafé; Nutren; Puravida</t>
  </si>
  <si>
    <t>REF-004</t>
  </si>
  <si>
    <t>Commercial Projects — The Marmalade</t>
  </si>
  <si>
    <t>SideFX / The Marmalade</t>
  </si>
  <si>
    <t>Studio case study / CGI híbrido</t>
  </si>
  <si>
    <t>Integração de CGI e tabletop para chocolate, bebidas e cosméticos com controle de materiais.</t>
  </si>
  <si>
    <t>Usar como benchmark de realismo, iluminação e composição antes de gerar a cena.</t>
  </si>
  <si>
    <t>Combinar produto rígido com líquidos/ingredientes reais ou gerados, preservando continuidade temporal.</t>
  </si>
  <si>
    <t>Referência transversal de acabamento e pós-produção.</t>
  </si>
  <si>
    <t>https://www.sidefx.com/community/commercial-projects-the-marmalade/</t>
  </si>
  <si>
    <t>Lácteos e bebidas cremosas</t>
  </si>
  <si>
    <t>Ninho Fases; Comfor; Supreme; Nestogeno; Nestonutri; Nanlac; Mucilon</t>
  </si>
  <si>
    <t>REF-005</t>
  </si>
  <si>
    <t>3D Milk Splash Animation</t>
  </si>
  <si>
    <t>Behance / Gerson Silveira</t>
  </si>
  <si>
    <t>Splash de leite com superfície, peso e abertura orgânica legíveis.</t>
  </si>
  <si>
    <t>Criar keyframe de coroa/sweep de leite atrás do packshot e manter área limpa para texto.</t>
  </si>
  <si>
    <t>Animar ascensão da lâmina de leite, gotas independentes e desaceleração suave.</t>
  </si>
  <si>
    <t>Master de splash lácteo para várias marcas.</t>
  </si>
  <si>
    <t>https://www.behance.net/gallery/211071469/3D-Milk-splash-animation</t>
  </si>
  <si>
    <t>Ninho Fases; Vital; Molico; bebidas de banana ou baunilha</t>
  </si>
  <si>
    <t>REF-006</t>
  </si>
  <si>
    <t>Weikfield Custard — CGI</t>
  </si>
  <si>
    <t>Behance / Kalpesh Patil</t>
  </si>
  <si>
    <t>2022</t>
  </si>
  <si>
    <t>CGI product visual</t>
  </si>
  <si>
    <t>Paisagem cremosa, rios líquidos e ingredientes flutuantes em paleta quente.</t>
  </si>
  <si>
    <t>Gerar ambiente monocromático de sabor com produto central e profundidade de ingredientes.</t>
  </si>
  <si>
    <t>Camera sweep acompanhando o fluxo cremoso; ingredientes orbitam em velocidades diferentes.</t>
  </si>
  <si>
    <t>Master para banana, baunilha e sabores cremosos.</t>
  </si>
  <si>
    <t>https://www.behance.net/gallery/135516381/Weikfield-Custard-Cgi</t>
  </si>
  <si>
    <t>Nutren Protein RTD; Vital; Molico; Materna; bebidas densas</t>
  </si>
  <si>
    <t>REF-007</t>
  </si>
  <si>
    <t>NARS Foundation — Fluid Simulation</t>
  </si>
  <si>
    <t>Behance / Kineza</t>
  </si>
  <si>
    <t>3D animation + fluid simulation</t>
  </si>
  <si>
    <t>Controle de viscosidade, surface tension e spread orgânico em estética limpa.</t>
  </si>
  <si>
    <t>Usar apenas a lógica física do fluido para criar placas cremosas e gotas sem redesenhar o produto.</t>
  </si>
  <si>
    <t>Fluido se espalha e recua como máscara de transição; câmera e packshot permanecem estáveis.</t>
  </si>
  <si>
    <t>Referência física para cremes e líquidos densos.</t>
  </si>
  <si>
    <t>https://www.behance.net/gallery/219971475/NARS-Foundation-CGI-3D-Animation-Fluid-Simulation</t>
  </si>
  <si>
    <t>Nescau; Ninho; Mucilon; produtos familiares com cereal e leite</t>
  </si>
  <si>
    <t>REF-008</t>
  </si>
  <si>
    <t>NESCAU Cereal — CGI</t>
  </si>
  <si>
    <t>Behance / Monstro CGI</t>
  </si>
  <si>
    <t>CGI key visual</t>
  </si>
  <si>
    <t>Cereal, leite e bowl em construção CGI de alta leitura e apetite visual.</t>
  </si>
  <si>
    <t>Criar frame com packshot + bowl + cereal suspenso, usando luz de recorte e fundo limpo.</t>
  </si>
  <si>
    <t>Cereal entra em vórtice, leite forma splash e elementos desaceleram no hero frame.</t>
  </si>
  <si>
    <t>Master família/cereal com leite.</t>
  </si>
  <si>
    <t>https://www.behance.net/gallery/189206155/NESCAU-CEREAL</t>
  </si>
  <si>
    <t>Proteína, whey e creatina</t>
  </si>
  <si>
    <t>Puravida Whey; Nutren Protein; Nutren Creatina; Nescau Protein RTD</t>
  </si>
  <si>
    <t>REF-009</t>
  </si>
  <si>
    <t>Evolve Cereal Whey — 3D Animation</t>
  </si>
  <si>
    <t>Behance / Abderraouf Chebbah</t>
  </si>
  <si>
    <t>Tub de whey, cereal flavor, partículas e energia de produto esportivo.</t>
  </si>
  <si>
    <t>Gerar keyframe com packshot sólido, pó e ingredientes distribuídos por profundidade.</t>
  </si>
  <si>
    <t>Explosão de pó controlada, rotação leve do produto e convergência para o end frame.</t>
  </si>
  <si>
    <t>Master de whey/pó com energia.</t>
  </si>
  <si>
    <t>https://www.behance.net/gallery/192504263/Evolve-Cereal-Whey-protein-3D-animation</t>
  </si>
  <si>
    <t>Nutren Sênior; Nutren Control; Nutren Cápsulas; Puravida; Vital</t>
  </si>
  <si>
    <t>REF-010</t>
  </si>
  <si>
    <t>PerlaHelsa — Supplement CGI Product Video</t>
  </si>
  <si>
    <t>MAD CGI</t>
  </si>
  <si>
    <t>s.d. (acesso 2026)</t>
  </si>
  <si>
    <t>3D motion + macro ingredients</t>
  </si>
  <si>
    <t>Macro ingredientes, embalagem fotoreal e ciência apresentada sem estética clínica excessiva.</t>
  </si>
  <si>
    <t>Criar close-ups de ingredientes ativos e hero packshot com mesma luz e paleta.</t>
  </si>
  <si>
    <t>Partículas macro formam órbitas ou se condensam no produto; foco alterna sem deformar rótulo.</t>
  </si>
  <si>
    <t>Master científico-premium para suplementos.</t>
  </si>
  <si>
    <t>https://www.madcgi.com/projects/perlahelsa</t>
  </si>
  <si>
    <t>Puravida; Nutren Protein; Nutren Creatina; linha completa de suplementos</t>
  </si>
  <si>
    <t>REF-011</t>
  </si>
  <si>
    <t>MF Seed — Supplement 3D Rendering and Animation</t>
  </si>
  <si>
    <t>Behance / Maverick Frame</t>
  </si>
  <si>
    <t>2026</t>
  </si>
  <si>
    <t>Sistema CGI escalável</t>
  </si>
  <si>
    <t>Sistema visual reutilizável para hero shots, estados de embalagem e múltiplos formatos.</t>
  </si>
  <si>
    <t>Construir uma cena-base com câmera, luz e pedestal replicáveis entre SKUs.</t>
  </si>
  <si>
    <t>Trocar somente cor, ingredientes e elementos secundários; movimento e timing permanecem modulares.</t>
  </si>
  <si>
    <t>Master escalável para variantes e gôndolas.</t>
  </si>
  <si>
    <t>https://www.behance.net/gallery/241787681/Supplement-3D-Rendering-and-Animation-Seed-3D-Motion</t>
  </si>
  <si>
    <t>Nutren Cápsulas; Nutren Vitamins; Materna; Vital; claims de ingredientes</t>
  </si>
  <si>
    <t>REF-012</t>
  </si>
  <si>
    <t>Vedic Lab — Nucleus Animation</t>
  </si>
  <si>
    <t>Behance / Vladislav Solovjov</t>
  </si>
  <si>
    <t>CGI molecular + partículas</t>
  </si>
  <si>
    <t>Partículas, núcleos e ingredientes ativos organizados como visualização de ciência natural.</t>
  </si>
  <si>
    <t>Gerar frame molecular abstrato conectado ao produto, sem sugerir mecanismo médico não aprovado.</t>
  </si>
  <si>
    <t>Partículas convergem, pulsam e revelam packshot/claim por máscara de luz.</t>
  </si>
  <si>
    <t>Master para ciência, vitaminas e benefícios.</t>
  </si>
  <si>
    <t>https://www.behance.net/gallery/197002789/Vedic-Lab-Nucleus-Animation</t>
  </si>
  <si>
    <t>Café e bebidas energéticas</t>
  </si>
  <si>
    <t>Nescafé Pro Energy</t>
  </si>
  <si>
    <t>REF-013</t>
  </si>
  <si>
    <t>Sello Rojo GO</t>
  </si>
  <si>
    <t>Caballo Loco Studio</t>
  </si>
  <si>
    <t>TV spot animado + live action</t>
  </si>
  <si>
    <t>Mundo animado integrado a live action para cold brew, ritmo e narrativa de consumo.</t>
  </si>
  <si>
    <t>Gerar keyframes de ambiente e produto separadamente para manter identidade do pack.</t>
  </si>
  <si>
    <t>Combinar câmera narrativa, partículas/ingredientes e revelação do produto em beat curto.</t>
  </si>
  <si>
    <t>Master narrativo para café RTD.</t>
  </si>
  <si>
    <t>https://www.caballolocostudio.com/projects-sellorojogo</t>
  </si>
  <si>
    <t>Nescafé Pro Energy; famílias com múltiplos sabores</t>
  </si>
  <si>
    <t>REF-014</t>
  </si>
  <si>
    <t>Aroma Dance — CGI</t>
  </si>
  <si>
    <t>Behance / Squirrel Studio</t>
  </si>
  <si>
    <t>3D motion choreography</t>
  </si>
  <si>
    <t>Cápsulas coreografadas, spin, bounce e stack em ambiente minimalista.</t>
  </si>
  <si>
    <t>Gerar composições com cada SKU como personagem, mantendo luz e câmera comuns.</t>
  </si>
  <si>
    <t>Orquestrar produtos em sequência rítmica; um SKU sai e o próximo assume o mesmo eixo.</t>
  </si>
  <si>
    <t>Master de coreografia multi-SKU.</t>
  </si>
  <si>
    <t>https://www.behance.net/gallery/229885635/Aroma-Dance-CGI</t>
  </si>
  <si>
    <t>Nescafé Pro Energy; Nescau Protein RTD; comunicação de energia</t>
  </si>
  <si>
    <t>REF-015</t>
  </si>
  <si>
    <t>Sting Energy — Global Rebrand</t>
  </si>
  <si>
    <t>Behance / Bolder Creative</t>
  </si>
  <si>
    <t>Sistema CGI + KVs + motion</t>
  </si>
  <si>
    <t>Sistema de energia com líquidos reais como base para simulações CGI, KVs e assets flexíveis.</t>
  </si>
  <si>
    <t>Criar hero frame monocromático com fluido/partículas alinhados à paleta do SKU.</t>
  </si>
  <si>
    <t>Liquido impacta, contorna e abre espaço; partículas finalizam o wipe para a próxima marca.</t>
  </si>
  <si>
    <t>Master de energia, líquido e variantes.</t>
  </si>
  <si>
    <t>https://www.behance.net/gallery/221356941/PepsiCo-Sting-Energy-Global-Rebrand?l=6</t>
  </si>
  <si>
    <t>Nescafé Pro Energy; Nescau Protein RTD</t>
  </si>
  <si>
    <t>REF-016</t>
  </si>
  <si>
    <t>Gorilla Energy Boost — CG Video</t>
  </si>
  <si>
    <t>P.Motion Studio</t>
  </si>
  <si>
    <t>CG commercial film</t>
  </si>
  <si>
    <t>Narrativa de potência em universo de game, time-ramp e gatilho de produto.</t>
  </si>
  <si>
    <t>Usar como referência de energia visual, não de conteúdo proprietário ou personagens.</t>
  </si>
  <si>
    <t>Time slows, luz/partículas aceleram e produto ativa o clímax antes do fechamento.</t>
  </si>
  <si>
    <t>Master para spots com performance e tensão.</t>
  </si>
  <si>
    <t>https://pmotion.studio/portfolio/gorilla-energy-boost-cg-video/</t>
  </si>
  <si>
    <t>Vitaminas, suplementos e wellness</t>
  </si>
  <si>
    <t>Nutren Vitamins; Materna; FiberMais; Ascenda; Vital; Nutren Sênior</t>
  </si>
  <si>
    <t>REF-017</t>
  </si>
  <si>
    <t>Zarbee's Vitamins — Product Visualization</t>
  </si>
  <si>
    <t>Selim Ari / Add And Blur Studio</t>
  </si>
  <si>
    <t>3D animation + hero stills</t>
  </si>
  <si>
    <t>Wellness familiar com luz suave, materiais naturais e câmera calma, sem aparência farmacêutica.</t>
  </si>
  <si>
    <t>Gerar keyframes acessíveis, com ingredientes naturais, packshot claro e paleta acolhedora.</t>
  </si>
  <si>
    <t>Movimento sutil de props, luz e câmera; adequado para loops longos e leitura em LED.</t>
  </si>
  <si>
    <t>Master de wellness familiar.</t>
  </si>
  <si>
    <t>https://www.selimari.com/projects/vitamins</t>
  </si>
  <si>
    <t>Nutren Cápsulas; Nutren Vitamins; Materna; Vital</t>
  </si>
  <si>
    <t>Visualização de ativos em partículas/núcleos com equilíbrio entre natureza e ciência.</t>
  </si>
  <si>
    <t>Criar macro abstrato e manter texto/claims em composição manual.</t>
  </si>
  <si>
    <t>Partículas se agrupam, atravessam o frame e formam a ponte para o próximo produto.</t>
  </si>
  <si>
    <t>Reuso científico transversal.</t>
  </si>
  <si>
    <t>Nutren Sênior; Nutren Control; Nutren Cápsulas; Puravida</t>
  </si>
  <si>
    <t>Macro ingredient visualization e embalagem premium com múltiplas configurações.</t>
  </si>
  <si>
    <t>Gerar variações de cor e ingredientes mantendo o mesmo product lock.</t>
  </si>
  <si>
    <t>Macro-to-hero transition: câmera sai do ingrediente e revela a linha completa.</t>
  </si>
  <si>
    <t>Reuso para ciência + e-commerce + vídeo.</t>
  </si>
  <si>
    <t>Vital; Molico; Nutren Sênior; Ascenda</t>
  </si>
  <si>
    <t>REF-018</t>
  </si>
  <si>
    <t>Healtheries — Live Life in the Green</t>
  </si>
  <si>
    <t>Motion Design Awards / Panic Studio</t>
  </si>
  <si>
    <t>Brand film / motion design</t>
  </si>
  <si>
    <t>Narrativa de bem-estar positiva, ritmo, match cuts e identidade cromática viva.</t>
  </si>
  <si>
    <t>Usar como referência para humanizar claims e evitar estética excessivamente técnica.</t>
  </si>
  <si>
    <t>Match cuts entre rotinas, objetos e cores; fechamento retorna ao produto.</t>
  </si>
  <si>
    <t>Master de lifestyle e energia positiva.</t>
  </si>
  <si>
    <t>https://www.motiondesignawards.com/project/1872/healtheries-live-life-in-the-green</t>
  </si>
  <si>
    <t>Cereais, grãos e nutrição familiar</t>
  </si>
  <si>
    <t>Mucilon; Ninho Fases; Nestonutri; Nestogeno; Nescau</t>
  </si>
  <si>
    <t>Bowl, cereal e splash de leite em CGI com leitura imediata de sabor.</t>
  </si>
  <si>
    <t>Gerar keyframe de produto + bowl + ingredientes com safe area para claim.</t>
  </si>
  <si>
    <t>Cereal e gotas entram em vórtice; câmera aproxima e congela no hero frame.</t>
  </si>
  <si>
    <t>Master para cereal, leite e família.</t>
  </si>
  <si>
    <t>Mucilon; Ninho; conteúdos de café da manhã</t>
  </si>
  <si>
    <t>REF-019</t>
  </si>
  <si>
    <t>Cheerios — Good Goes Round</t>
  </si>
  <si>
    <t>Tabletop virtual production</t>
  </si>
  <si>
    <t>Tabletop com cereal em movimento, cenário virtual e repetição circular da categoria.</t>
  </si>
  <si>
    <t>Criar cena física simples com fundo gerado e produto preservado em pós.</t>
  </si>
  <si>
    <t>Fluxo circular de cereal e câmera curta para loops contínuos.</t>
  </si>
  <si>
    <t>Master de breakfast tabletop.</t>
  </si>
  <si>
    <t>https://www.format.tv/live-action/cheerios</t>
  </si>
  <si>
    <t>Ninho; Nescau; Nestonutri; bebidas nutricionais infantis e familiares</t>
  </si>
  <si>
    <t>Integra sabor, embalagem, copo servido e splash em uma única hierarquia.</t>
  </si>
  <si>
    <t>Gerar trio de frames: macro sabor, packshot hero e produto servido.</t>
  </si>
  <si>
    <t>Animar pour, splash e partículas de sabor; fechar com packshot estável.</t>
  </si>
  <si>
    <t>Master para bebidas nutricionais familiares.</t>
  </si>
  <si>
    <t>Ninho; Mucilon; Nestonutri; comunicação institucional de breakfast</t>
  </si>
  <si>
    <t>REF-020</t>
  </si>
  <si>
    <t>Kellogg's — See You in the Morning</t>
  </si>
  <si>
    <t>Publicis Groupe UK / Leo Burnett</t>
  </si>
  <si>
    <t>Campanha integrada + personagem 3D</t>
  </si>
  <si>
    <t>Narrativa de categoria contemporânea com personagem 3D em escala urbana e múltiplos rituais.</t>
  </si>
  <si>
    <t>Usar como referência de ousadia e construção de mundo, não para copiar personagem.</t>
  </si>
  <si>
    <t>Transições por match cut entre rotinas; elemento 3D guia a sequência.</t>
  </si>
  <si>
    <t>Referência de narrativa familiar de alto impacto.</t>
  </si>
  <si>
    <t>https://www.publicisgroupeuk.com/news-and-views/leo-burnett-uk-x-kelloggs-see-you-in-the-morning/</t>
  </si>
  <si>
    <t>Portfólio multi-SKU e gôndolas</t>
  </si>
  <si>
    <t>LEDs de gôndolas; Puravida portfólio; famílias Comfor/Supreme/Nanlac</t>
  </si>
  <si>
    <t>Sistema consistente de KVs, líquidos e produto para linha atual e futura.</t>
  </si>
  <si>
    <t>Definir master scene por placement e trocar paleta, packshot e ingrediente.</t>
  </si>
  <si>
    <t>Mesma coreografia para todos os SKUs, com transição de cor e partícula.</t>
  </si>
  <si>
    <t>Master para produção em lote.</t>
  </si>
  <si>
    <t>Nutren; Puravida; vitaminas; portfólios completos</t>
  </si>
  <si>
    <t>Biblioteca CGI criada para escalabilidade, recortes, estados e campanhas contínuas.</t>
  </si>
  <si>
    <t>Gerar estados open/closed, hero e detalhe a partir da mesma composição-base.</t>
  </si>
  <si>
    <t>Loop modular com entrada, detalhe e lineup final; reutilizável em diversos formatos.</t>
  </si>
  <si>
    <t>Master de sistema visual reutilizável.</t>
  </si>
  <si>
    <t>Famílias de produtos e sabores; três ou mais embalagens</t>
  </si>
  <si>
    <t>Três sabores produzidos com um único pipeline, mesmos materiais e linguagem.</t>
  </si>
  <si>
    <t>Criar variações com câmera e luz fixas, mantendo only assets específicos por SKU.</t>
  </si>
  <si>
    <t>Transição por troca de sabor/ingrediente e fechamento em lineup.</t>
  </si>
  <si>
    <t>Master de variantes com custo controlado.</t>
  </si>
  <si>
    <t>Todas as famílias com muitas peças curtas</t>
  </si>
  <si>
    <t>REF-021</t>
  </si>
  <si>
    <t>Skittles — Flavor Explosion System</t>
  </si>
  <si>
    <t>Warm &amp; Fuzzy</t>
  </si>
  <si>
    <t>20 spots / CGI + live action</t>
  </si>
  <si>
    <t>Vinte spots em múltiplos formatos usando uma linguagem compartilhada de explosão de sabor.</t>
  </si>
  <si>
    <t>Criar kit de elementos 2D/3D por família para uso recorrente nos KVs.</t>
  </si>
  <si>
    <t>Explosões curtas, stickers/partículas e cortes rápidos com packshot sempre legível.</t>
  </si>
  <si>
    <t>Referência de consistência em alto volume.</t>
  </si>
  <si>
    <t>https://www.warmnfuzzy.tv/work/skittles</t>
  </si>
  <si>
    <t>Transições entre marcas</t>
  </si>
  <si>
    <t>Todos os placements com sequência de marcas</t>
  </si>
  <si>
    <t>REF-022</t>
  </si>
  <si>
    <t>Urban Retreat — Seamless Product Range Loop</t>
  </si>
  <si>
    <t>Wonderpunch</t>
  </si>
  <si>
    <t>s.d.</t>
  </si>
  <si>
    <t>Loop CGI multi-produto</t>
  </si>
  <si>
    <t>Vignettes conectadas; produto derrete em metal líquido e se reforma no próximo.</t>
  </si>
  <si>
    <t>Criar start/end frames com bridge abstrata e sem logos durante a transformação.</t>
  </si>
  <si>
    <t>Objeto líquido cobre o frame, muda de material e revela o próximo packshot.</t>
  </si>
  <si>
    <t>Master de transição produto → ponte → produto.</t>
  </si>
  <si>
    <t>https://www.wonderpunch.com/portfolio/urban-retreat-3d-products-animation/</t>
  </si>
  <si>
    <t>Todos os placements com líquidos ou superfícies reflexivas</t>
  </si>
  <si>
    <t>REF-023</t>
  </si>
  <si>
    <t>Liquid Watch</t>
  </si>
  <si>
    <t>Tektura Studio</t>
  </si>
  <si>
    <t>CGI product film / liquid metal</t>
  </si>
  <si>
    <t>Produto emerge de metal líquido em ambiente minimalista.</t>
  </si>
  <si>
    <t>Gerar frame intermediário 100% abstrato para ocultar a troca de marca.</t>
  </si>
  <si>
    <t>Liquid-metal wipe, emergência controlada e desaceleração no hero frame.</t>
  </si>
  <si>
    <t>Master de ponte neutra sem contaminação de marca.</t>
  </si>
  <si>
    <t>https://www.tektura.studio/work/liquid-watch</t>
  </si>
  <si>
    <t>Todos os placements; especialmente institucional e wellness</t>
  </si>
  <si>
    <t>REF-024</t>
  </si>
  <si>
    <t>AXOR — Escape the Ordinary</t>
  </si>
  <si>
    <t>Brand film + water simulation</t>
  </si>
  <si>
    <t>Água abstrata com motion orgânico e preciso, usada como linguagem de marca.</t>
  </si>
  <si>
    <t>Usar curvas de água/luz como bridge neutra inspirada na arquitetura do estande.</t>
  </si>
  <si>
    <t>Fluido forma palavra/curva abstrata, ocupa o frame e dissolve na próxima cena.</t>
  </si>
  <si>
    <t>Master institucional de fluido e luz.</t>
  </si>
  <si>
    <t>https://www.tektura.studio/work/axor-brand-film</t>
  </si>
  <si>
    <t>Bebidas, RTD e categorias com gelo ou líquidos</t>
  </si>
  <si>
    <t>REF-025</t>
  </si>
  <si>
    <t>Lime Sip — Beverage Branding CGI Concept</t>
  </si>
  <si>
    <t>Behance / Lavesh Audichya</t>
  </si>
  <si>
    <t>CGI beverage film</t>
  </si>
  <si>
    <t>Ice cube transforma-se em bebida e conduz a narrativa até o produto.</t>
  </si>
  <si>
    <t>Criar keyframes de ingrediente inicial, transformação abstrata e packshot final.</t>
  </si>
  <si>
    <t>Transformação de gelo/líquido com passagem de câmera ou wipe total.</t>
  </si>
  <si>
    <t>Master ingrediente → produto.</t>
  </si>
  <si>
    <t>https://www.behance.net/gallery/197300703/Lime-Sip-Beverage-Branding-%28CGI-concept-%29</t>
  </si>
  <si>
    <t>Sequências multi-SKU e mudanças rápidas de linha</t>
  </si>
  <si>
    <t>Produtos coreografados com spin, bounce e stack em eixo comum.</t>
  </si>
  <si>
    <t>Gerar todos os SKUs no mesmo ângulo e iluminação para facilitar continuidade.</t>
  </si>
  <si>
    <t>Um produto sai por rotação/stack e o próximo entra ocupando o mesmo eixo.</t>
  </si>
  <si>
    <t>Master coreográfico de troca de SKU.</t>
  </si>
  <si>
    <t>C — técnica/LED</t>
  </si>
  <si>
    <t>Conteúdo para LED e telas especiais</t>
  </si>
  <si>
    <t>LED curvo, painéis de grande escala e lançamentos de bebida</t>
  </si>
  <si>
    <t>REF-026</t>
  </si>
  <si>
    <t>Savanna Premium Cider — Naked-Eye 3D</t>
  </si>
  <si>
    <t>Lumenstory</t>
  </si>
  <si>
    <t>Anamorphic LED campaign</t>
  </si>
  <si>
    <t>Bottle breakout, splashes e ingredientes dimensionados para quatro telas diferentes.</t>
  </si>
  <si>
    <t>Criar keyframe com perspectiva calibrada, produto grande e poucos elementos legíveis.</t>
  </si>
  <si>
    <t>Produto atravessa o plano da tela; splash e ingredientes mantêm leitura a distância.</t>
  </si>
  <si>
    <t>Master de impacto para LED com adaptações por tela.</t>
  </si>
  <si>
    <t>https://lumenstory.com/works/savanna-premium-cider/</t>
  </si>
  <si>
    <t>LEDs ultrawide; conteúdos ambientais e loops</t>
  </si>
  <si>
    <t>REF-027</t>
  </si>
  <si>
    <t>Immersive Restaurant Anamorphic LED Installation</t>
  </si>
  <si>
    <t>4 × 45s anamorphic CGI</t>
  </si>
  <si>
    <t>Quatro histórias anamórficas de 45s adaptadas a tela 2682×648.</t>
  </si>
  <si>
    <t>Usar como referência de composição ultrawide, profundidade e continuidade ambiental.</t>
  </si>
  <si>
    <t>Movimento lento de portal/ambiente; loops longos sem depender de texto.</t>
  </si>
  <si>
    <t>Master de ambientação ultrawide.</t>
  </si>
  <si>
    <t>https://lumenstory.com/works/immersive-restaurant-anamorphic-installation/</t>
  </si>
  <si>
    <t>Painéis curvos, praça de alimentação e telas com alto ruído visual externo</t>
  </si>
  <si>
    <t>REF-028</t>
  </si>
  <si>
    <t>Raising Cane's — Universal CityWalk</t>
  </si>
  <si>
    <t>Render Impact</t>
  </si>
  <si>
    <t>Curved anamorphic LED</t>
  </si>
  <si>
    <t>Experiência anamórfica de alimento em fachada curva com objetivo de parada de fluxo.</t>
  </si>
  <si>
    <t>Gerar cena simples com um único hero object e profundidade forçada.</t>
  </si>
  <si>
    <t>Ação impossível curta, produto invade o espaço e retorna ao frame para loop.</t>
  </si>
  <si>
    <t>Master de leitura imediata em ambiente competitivo.</t>
  </si>
  <si>
    <t>https://renderimpact.com/work/raising-canes-citywalk/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</si>
</sst>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sz val="10"/>
      <color theme="1"/>
      <name val="Arial"/>
    </font>
    <font>
      <b/>
      <sz val="16"/>
      <color rgb="FFFFFFFF"/>
      <name val="Arial"/>
    </font>
    <font>
      <i/>
      <sz val="10"/>
      <color rgb="FF4B2E27"/>
      <name val="Arial"/>
    </font>
    <font>
      <b/>
      <sz val="10"/>
      <color rgb="FF4B2E27"/>
      <name val="Arial"/>
    </font>
    <font>
      <sz val="9"/>
      <color rgb="FF334155"/>
      <name val="Arial"/>
    </font>
    <font>
      <b/>
      <sz val="10"/>
      <color rgb="FFFFFFFF"/>
      <name val="Arial"/>
    </font>
    <font>
      <sz val="9"/>
      <color rgb="FF222222"/>
      <name val="Arial"/>
    </font>
    <font>
      <sz val="9"/>
      <color rgb="FF0563C1"/>
      <name val="Arial"/>
    </font>
    <font>
      <b/>
      <sz val="9"/>
      <color rgb="FF2F2F2F"/>
      <name val="Arial"/>
    </font>
    <font>
      <sz val="10"/>
      <color theme="1"/>
      <name val="Arial"/>
      <family val="2"/>
    </font>
    <font>
      <u/>
      <sz val="10"/>
      <color theme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0E0E3"/>
      </patternFill>
    </fill>
    <fill>
      <patternFill patternType="solid">
        <fgColor rgb="FFD9EAD3"/>
      </patternFill>
    </fill>
    <fill>
      <patternFill patternType="solid">
        <fgColor rgb="FF4B2E27"/>
      </patternFill>
    </fill>
    <fill>
      <patternFill patternType="solid">
        <fgColor rgb="FFF4E9DE"/>
      </patternFill>
    </fill>
    <fill>
      <patternFill patternType="solid">
        <fgColor rgb="FFFFF4D6"/>
      </patternFill>
    </fill>
    <fill>
      <patternFill patternType="solid">
        <fgColor rgb="FFFFFFFF"/>
      </patternFill>
    </fill>
    <fill>
      <patternFill patternType="solid">
        <fgColor rgb="FFE8EEF3"/>
      </patternFill>
    </fill>
    <fill>
      <patternFill patternType="solid">
        <fgColor rgb="FF6B4A3A"/>
      </patternFill>
    </fill>
    <fill>
      <patternFill patternType="solid">
        <fgColor rgb="FFEAD2C5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FFE7E6E6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B8AE"/>
      </left>
      <right style="thin">
        <color rgb="FFE6DDD8"/>
      </right>
      <top style="thin">
        <color rgb="FFC8B8AE"/>
      </top>
      <bottom style="thin">
        <color rgb="FFE6DDD8"/>
      </bottom>
      <diagonal/>
    </border>
    <border>
      <left style="thin">
        <color rgb="FFE6DDD8"/>
      </left>
      <right style="thin">
        <color rgb="FFE6DDD8"/>
      </right>
      <top style="thin">
        <color rgb="FFC8B8AE"/>
      </top>
      <bottom style="thin">
        <color rgb="FFE6DDD8"/>
      </bottom>
      <diagonal/>
    </border>
    <border>
      <left style="thin">
        <color rgb="FFE6DDD8"/>
      </left>
      <right style="thin">
        <color rgb="FFC8B8AE"/>
      </right>
      <top style="thin">
        <color rgb="FFC8B8AE"/>
      </top>
      <bottom style="thin">
        <color rgb="FFE6DDD8"/>
      </bottom>
      <diagonal/>
    </border>
    <border>
      <left style="thin">
        <color rgb="FFC8B8AE"/>
      </left>
      <right style="thin">
        <color rgb="FFE6DDD8"/>
      </right>
      <top style="thin">
        <color rgb="FFE6DDD8"/>
      </top>
      <bottom style="thin">
        <color rgb="FFE6DDD8"/>
      </bottom>
      <diagonal/>
    </border>
    <border>
      <left style="thin">
        <color rgb="FFE6DDD8"/>
      </left>
      <right style="thin">
        <color rgb="FFE6DDD8"/>
      </right>
      <top style="thin">
        <color rgb="FFE6DDD8"/>
      </top>
      <bottom style="thin">
        <color rgb="FFE6DDD8"/>
      </bottom>
      <diagonal/>
    </border>
    <border>
      <left style="thin">
        <color rgb="FFE6DDD8"/>
      </left>
      <right style="thin">
        <color rgb="FFC8B8AE"/>
      </right>
      <top style="thin">
        <color rgb="FFE6DDD8"/>
      </top>
      <bottom style="thin">
        <color rgb="FFE6DDD8"/>
      </bottom>
      <diagonal/>
    </border>
    <border>
      <left style="thin">
        <color rgb="FFC8B8AE"/>
      </left>
      <right style="thin">
        <color rgb="FFE6DDD8"/>
      </right>
      <top style="thin">
        <color rgb="FFE6DDD8"/>
      </top>
      <bottom style="thin">
        <color rgb="FFC8B8AE"/>
      </bottom>
      <diagonal/>
    </border>
    <border>
      <left style="thin">
        <color rgb="FFE6DDD8"/>
      </left>
      <right style="thin">
        <color rgb="FFE6DDD8"/>
      </right>
      <top style="thin">
        <color rgb="FFE6DDD8"/>
      </top>
      <bottom style="thin">
        <color rgb="FFC8B8AE"/>
      </bottom>
      <diagonal/>
    </border>
    <border>
      <left style="thin">
        <color rgb="FFE6DDD8"/>
      </left>
      <right style="thin">
        <color rgb="FFC8B8AE"/>
      </right>
      <top style="thin">
        <color rgb="FFE6DDD8"/>
      </top>
      <bottom style="thin">
        <color rgb="FFC8B8AE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9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9" fillId="10" borderId="6" xfId="0" applyFont="1" applyFill="1" applyBorder="1" applyAlignment="1">
      <alignment vertical="center" wrapText="1"/>
    </xf>
    <xf numFmtId="0" fontId="9" fillId="11" borderId="6" xfId="0" applyFont="1" applyFill="1" applyBorder="1" applyAlignment="1">
      <alignment vertical="center" wrapText="1"/>
    </xf>
    <xf numFmtId="0" fontId="9" fillId="12" borderId="6" xfId="0" applyFont="1" applyFill="1" applyBorder="1" applyAlignment="1">
      <alignment vertical="center" wrapText="1"/>
    </xf>
    <xf numFmtId="0" fontId="9" fillId="13" borderId="6" xfId="0" applyFont="1" applyFill="1" applyBorder="1" applyAlignment="1">
      <alignment vertical="center" wrapText="1"/>
    </xf>
    <xf numFmtId="0" fontId="9" fillId="14" borderId="6" xfId="0" applyFont="1" applyFill="1" applyBorder="1" applyAlignment="1">
      <alignment vertical="center" wrapText="1"/>
    </xf>
    <xf numFmtId="0" fontId="9" fillId="15" borderId="6" xfId="0" applyFont="1" applyFill="1" applyBorder="1" applyAlignment="1">
      <alignment vertical="center" wrapText="1"/>
    </xf>
    <xf numFmtId="0" fontId="9" fillId="16" borderId="6" xfId="0" applyFont="1" applyFill="1" applyBorder="1" applyAlignment="1">
      <alignment vertical="center" wrapText="1"/>
    </xf>
    <xf numFmtId="0" fontId="9" fillId="17" borderId="6" xfId="0" applyFont="1" applyFill="1" applyBorder="1" applyAlignment="1">
      <alignment vertical="center" wrapText="1"/>
    </xf>
    <xf numFmtId="0" fontId="9" fillId="17" borderId="9" xfId="0" applyFont="1" applyFill="1" applyBorder="1" applyAlignment="1">
      <alignment vertical="center" wrapText="1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0" fontId="11" fillId="0" borderId="6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6">
    <dxf>
      <font>
        <b/>
        <color rgb="FF385723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4D6"/>
        </patternFill>
      </fill>
    </dxf>
    <dxf>
      <font>
        <color rgb="FF1F4E78"/>
      </font>
      <fill>
        <patternFill patternType="solid">
          <bgColor rgb="FFEAF2F8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adoriaRefsTable" displayName="CuradoriaRefsTable" ref="A5:O41">
  <tableColumns count="15">
    <tableColumn id="1" xr3:uid="{00000000-0010-0000-0000-000001000000}" name="Aderência"/>
    <tableColumn id="2" xr3:uid="{00000000-0010-0000-0000-000002000000}" name="Tipo de produto"/>
    <tableColumn id="3" xr3:uid="{00000000-0010-0000-0000-000003000000}" name="Produtos do projeto"/>
    <tableColumn id="4" xr3:uid="{00000000-0010-0000-0000-000004000000}" name="Ref ID"/>
    <tableColumn id="5" xr3:uid="{00000000-0010-0000-0000-000005000000}" name="Referência"/>
    <tableColumn id="6" xr3:uid="{00000000-0010-0000-0000-000006000000}" name="Fonte"/>
    <tableColumn id="7" xr3:uid="{00000000-0010-0000-0000-000007000000}" name="Ano"/>
    <tableColumn id="8" xr3:uid="{00000000-0010-0000-0000-000008000000}" name="Formato"/>
    <tableColumn id="9" xr3:uid="{00000000-0010-0000-0000-000009000000}" name="Técnica / construção de cena"/>
    <tableColumn id="10" xr3:uid="{00000000-0010-0000-0000-00000A000000}" name="Aplicação no KV / Nano Banana"/>
    <tableColumn id="11" xr3:uid="{00000000-0010-0000-0000-00000B000000}" name="Movimento sugerido / Veo 3"/>
    <tableColumn id="12" xr3:uid="{00000000-0010-0000-0000-00000C000000}" name="Reuso em produção"/>
    <tableColumn id="13" xr3:uid="{00000000-0010-0000-0000-00000D000000}" name="Origem da curadoria"/>
    <tableColumn id="14" xr3:uid="{00000000-0010-0000-0000-00000E000000}" name="Link direto"/>
    <tableColumn id="15" xr3:uid="{00000000-0010-0000-0000-00000F000000}" name="Status editor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olvingtools.github.io/JSON-Prompt-Gen/app.html" TargetMode="External"/><Relationship Id="rId2" Type="http://schemas.openxmlformats.org/officeDocument/2006/relationships/hyperlink" Target="https://storage.googleapis.com/gweb-uniblog-publish-prod/original_videos/Ingredients_to_Video.mp4" TargetMode="External"/><Relationship Id="rId1" Type="http://schemas.openxmlformats.org/officeDocument/2006/relationships/hyperlink" Target="https://skywork.ai/blog/google-veo-3-prompt-examples-2025/" TargetMode="External"/><Relationship Id="rId4" Type="http://schemas.openxmlformats.org/officeDocument/2006/relationships/hyperlink" Target="https://solvingtools.github.io/JSON-Prompt-Gen/src/blog/veo-json-prompt-guid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adcgi.com/projects/perlahel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3" workbookViewId="0">
      <selection activeCell="B5" sqref="B5"/>
    </sheetView>
  </sheetViews>
  <sheetFormatPr baseColWidth="10" defaultColWidth="12.6640625" defaultRowHeight="13" x14ac:dyDescent="0.15"/>
  <cols>
    <col min="1" max="1" width="23.1640625" customWidth="1"/>
    <col min="2" max="2" width="29.83203125" customWidth="1"/>
    <col min="3" max="3" width="23" customWidth="1"/>
    <col min="4" max="9" width="29.83203125" customWidth="1"/>
  </cols>
  <sheetData>
    <row r="1" spans="1:10" ht="14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84" x14ac:dyDescent="0.15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32" t="s">
        <v>18</v>
      </c>
      <c r="J2" s="4" t="s">
        <v>19</v>
      </c>
    </row>
    <row r="3" spans="1:10" ht="70" x14ac:dyDescent="0.15">
      <c r="A3" s="3" t="s">
        <v>10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32" t="s">
        <v>27</v>
      </c>
      <c r="J3" s="4" t="s">
        <v>28</v>
      </c>
    </row>
    <row r="4" spans="1:10" ht="56" x14ac:dyDescent="0.15">
      <c r="A4" s="3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32" t="s">
        <v>37</v>
      </c>
      <c r="J4" s="4" t="s">
        <v>38</v>
      </c>
    </row>
    <row r="5" spans="1:10" ht="56" x14ac:dyDescent="0.15">
      <c r="A5" s="3" t="s">
        <v>39</v>
      </c>
      <c r="B5" s="4" t="s">
        <v>40</v>
      </c>
      <c r="C5" s="31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46</v>
      </c>
      <c r="I5" s="32" t="s">
        <v>47</v>
      </c>
      <c r="J5" s="4" t="s">
        <v>38</v>
      </c>
    </row>
    <row r="6" spans="1:10" ht="84" x14ac:dyDescent="0.15">
      <c r="A6" s="3" t="s">
        <v>39</v>
      </c>
      <c r="B6" s="4" t="s">
        <v>48</v>
      </c>
      <c r="C6" s="4" t="s">
        <v>49</v>
      </c>
      <c r="D6" s="4" t="s">
        <v>50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55</v>
      </c>
      <c r="J6" s="4" t="s">
        <v>56</v>
      </c>
    </row>
    <row r="7" spans="1:10" ht="56" x14ac:dyDescent="0.15">
      <c r="A7" s="3" t="s">
        <v>57</v>
      </c>
      <c r="B7" s="4" t="s">
        <v>58</v>
      </c>
      <c r="C7" s="4" t="s">
        <v>59</v>
      </c>
      <c r="D7" s="4" t="s">
        <v>60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66</v>
      </c>
    </row>
    <row r="8" spans="1:10" ht="56" x14ac:dyDescent="0.15">
      <c r="A8" s="3" t="s">
        <v>67</v>
      </c>
      <c r="B8" s="4" t="s">
        <v>68</v>
      </c>
      <c r="C8" s="4" t="s">
        <v>69</v>
      </c>
      <c r="D8" s="4" t="s">
        <v>70</v>
      </c>
      <c r="E8" s="4" t="s">
        <v>71</v>
      </c>
      <c r="F8" s="4" t="s">
        <v>72</v>
      </c>
      <c r="G8" s="4" t="s">
        <v>73</v>
      </c>
      <c r="H8" s="4" t="s">
        <v>74</v>
      </c>
      <c r="I8" s="4" t="s">
        <v>75</v>
      </c>
      <c r="J8" s="4" t="s">
        <v>38</v>
      </c>
    </row>
    <row r="9" spans="1:10" ht="70" x14ac:dyDescent="0.15">
      <c r="A9" s="3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</row>
    <row r="10" spans="1:10" ht="70" x14ac:dyDescent="0.15">
      <c r="A10" s="3" t="s">
        <v>86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92</v>
      </c>
      <c r="H10" s="4" t="s">
        <v>93</v>
      </c>
      <c r="I10" s="4" t="s">
        <v>84</v>
      </c>
      <c r="J10" s="4" t="s">
        <v>85</v>
      </c>
    </row>
    <row r="11" spans="1:10" ht="56" x14ac:dyDescent="0.15">
      <c r="A11" s="3" t="s">
        <v>94</v>
      </c>
      <c r="B11" s="4" t="s">
        <v>95</v>
      </c>
      <c r="C11" s="4" t="s">
        <v>96</v>
      </c>
      <c r="D11" s="4" t="s">
        <v>97</v>
      </c>
      <c r="E11" s="4" t="s">
        <v>98</v>
      </c>
      <c r="F11" s="4" t="s">
        <v>99</v>
      </c>
      <c r="G11" s="4" t="s">
        <v>100</v>
      </c>
      <c r="H11" s="4" t="s">
        <v>101</v>
      </c>
      <c r="I11" s="4" t="s">
        <v>102</v>
      </c>
      <c r="J11" s="4" t="s">
        <v>103</v>
      </c>
    </row>
    <row r="12" spans="1:10" ht="56" x14ac:dyDescent="0.15">
      <c r="A12" s="3" t="s">
        <v>104</v>
      </c>
      <c r="B12" s="4" t="s">
        <v>105</v>
      </c>
      <c r="C12" s="4" t="s">
        <v>106</v>
      </c>
      <c r="D12" s="4" t="s">
        <v>107</v>
      </c>
      <c r="E12" s="4" t="s">
        <v>108</v>
      </c>
      <c r="F12" s="4" t="s">
        <v>109</v>
      </c>
      <c r="G12" s="4" t="s">
        <v>110</v>
      </c>
      <c r="H12" s="4" t="s">
        <v>111</v>
      </c>
      <c r="I12" s="4" t="s">
        <v>112</v>
      </c>
      <c r="J12" s="4" t="s">
        <v>113</v>
      </c>
    </row>
    <row r="13" spans="1:10" ht="56" x14ac:dyDescent="0.15">
      <c r="A13" s="3" t="s">
        <v>104</v>
      </c>
      <c r="B13" s="4" t="s">
        <v>114</v>
      </c>
      <c r="C13" s="4" t="s">
        <v>115</v>
      </c>
      <c r="D13" s="4" t="s">
        <v>116</v>
      </c>
      <c r="E13" s="4" t="s">
        <v>117</v>
      </c>
      <c r="F13" s="4" t="s">
        <v>118</v>
      </c>
      <c r="G13" s="4" t="s">
        <v>119</v>
      </c>
      <c r="H13" s="4" t="s">
        <v>120</v>
      </c>
      <c r="I13" s="4" t="s">
        <v>121</v>
      </c>
      <c r="J13" s="4" t="s">
        <v>122</v>
      </c>
    </row>
    <row r="14" spans="1:10" ht="70" x14ac:dyDescent="0.15">
      <c r="A14" s="3" t="s">
        <v>123</v>
      </c>
      <c r="B14" s="4" t="s">
        <v>124</v>
      </c>
      <c r="C14" s="4" t="s">
        <v>125</v>
      </c>
      <c r="D14" s="4" t="s">
        <v>126</v>
      </c>
      <c r="E14" s="4" t="s">
        <v>127</v>
      </c>
      <c r="F14" s="4" t="s">
        <v>128</v>
      </c>
      <c r="G14" s="4" t="s">
        <v>129</v>
      </c>
      <c r="H14" s="4" t="s">
        <v>130</v>
      </c>
      <c r="I14" s="4" t="s">
        <v>131</v>
      </c>
      <c r="J14" s="4" t="s">
        <v>132</v>
      </c>
    </row>
    <row r="15" spans="1:10" ht="70" x14ac:dyDescent="0.15">
      <c r="A15" s="3" t="s">
        <v>123</v>
      </c>
      <c r="B15" s="4" t="s">
        <v>133</v>
      </c>
      <c r="C15" s="4" t="s">
        <v>134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139</v>
      </c>
      <c r="I15" s="4" t="s">
        <v>140</v>
      </c>
      <c r="J15" s="4" t="s">
        <v>141</v>
      </c>
    </row>
    <row r="16" spans="1:10" ht="56" x14ac:dyDescent="0.15">
      <c r="A16" s="3" t="s">
        <v>142</v>
      </c>
      <c r="B16" s="4" t="s">
        <v>143</v>
      </c>
      <c r="C16" s="4" t="s">
        <v>144</v>
      </c>
      <c r="D16" s="4" t="s">
        <v>145</v>
      </c>
      <c r="E16" s="4" t="s">
        <v>146</v>
      </c>
      <c r="F16" s="4" t="s">
        <v>147</v>
      </c>
      <c r="G16" s="4" t="s">
        <v>148</v>
      </c>
      <c r="H16" s="4" t="s">
        <v>149</v>
      </c>
      <c r="I16" s="4" t="s">
        <v>65</v>
      </c>
      <c r="J16" s="4" t="s">
        <v>66</v>
      </c>
    </row>
    <row r="17" spans="1:10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15">
      <c r="A997" s="5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15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15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x14ac:dyDescent="0.15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</sheetData>
  <hyperlinks>
    <hyperlink ref="I2" r:id="rId1" location="beverage-pour-commercial" xr:uid="{3ADF0D85-3CB6-D443-9187-7B2D5AA14473}"/>
    <hyperlink ref="I3" r:id="rId2" xr:uid="{5C84D547-875A-6645-BD22-9523C6A61561}"/>
    <hyperlink ref="I4" r:id="rId3" xr:uid="{CD3582F9-1A0F-4848-AD1C-C778BBCF65F4}"/>
    <hyperlink ref="I5" r:id="rId4" xr:uid="{2987BC69-6322-1C49-9B89-D0C99972135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2.6640625" defaultRowHeight="13" x14ac:dyDescent="0.15"/>
  <sheetData>
    <row r="1" spans="1:2" x14ac:dyDescent="0.15">
      <c r="A1" s="1" t="s">
        <v>150</v>
      </c>
      <c r="B1" s="1" t="s">
        <v>151</v>
      </c>
    </row>
    <row r="2" spans="1:2" x14ac:dyDescent="0.15">
      <c r="A2" s="1" t="s">
        <v>19</v>
      </c>
      <c r="B2" s="1" t="s">
        <v>152</v>
      </c>
    </row>
    <row r="3" spans="1:2" x14ac:dyDescent="0.15">
      <c r="A3" s="1" t="s">
        <v>141</v>
      </c>
      <c r="B3" s="1" t="s">
        <v>153</v>
      </c>
    </row>
    <row r="4" spans="1:2" x14ac:dyDescent="0.15">
      <c r="A4" s="1" t="s">
        <v>154</v>
      </c>
      <c r="B4" s="1" t="s">
        <v>155</v>
      </c>
    </row>
    <row r="5" spans="1:2" x14ac:dyDescent="0.15">
      <c r="A5" s="1" t="s">
        <v>156</v>
      </c>
      <c r="B5" s="1" t="s">
        <v>157</v>
      </c>
    </row>
    <row r="6" spans="1:2" x14ac:dyDescent="0.15">
      <c r="A6" s="1" t="s">
        <v>158</v>
      </c>
      <c r="B6" s="1" t="s">
        <v>159</v>
      </c>
    </row>
    <row r="7" spans="1:2" x14ac:dyDescent="0.15">
      <c r="A7" s="1" t="s">
        <v>56</v>
      </c>
      <c r="B7" s="1" t="s">
        <v>160</v>
      </c>
    </row>
    <row r="8" spans="1:2" x14ac:dyDescent="0.15">
      <c r="A8" s="1" t="s">
        <v>66</v>
      </c>
      <c r="B8" s="1" t="s">
        <v>161</v>
      </c>
    </row>
    <row r="9" spans="1:2" x14ac:dyDescent="0.15">
      <c r="A9" s="1" t="s">
        <v>85</v>
      </c>
      <c r="B9" s="1" t="s">
        <v>162</v>
      </c>
    </row>
    <row r="10" spans="1:2" x14ac:dyDescent="0.15">
      <c r="A10" s="1" t="s">
        <v>103</v>
      </c>
      <c r="B10" s="1" t="s">
        <v>163</v>
      </c>
    </row>
    <row r="11" spans="1:2" x14ac:dyDescent="0.15">
      <c r="A11" s="1" t="s">
        <v>113</v>
      </c>
      <c r="B11" s="1" t="s">
        <v>164</v>
      </c>
    </row>
    <row r="12" spans="1:2" x14ac:dyDescent="0.15">
      <c r="A12" s="1" t="s">
        <v>122</v>
      </c>
      <c r="B12" s="1" t="s">
        <v>165</v>
      </c>
    </row>
    <row r="13" spans="1:2" x14ac:dyDescent="0.15">
      <c r="A13" s="1" t="s">
        <v>132</v>
      </c>
      <c r="B13" s="1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tabSelected="1" topLeftCell="G8" workbookViewId="0">
      <selection activeCell="N15" sqref="N15"/>
    </sheetView>
  </sheetViews>
  <sheetFormatPr baseColWidth="10" defaultColWidth="8.83203125" defaultRowHeight="13" x14ac:dyDescent="0.15"/>
  <cols>
    <col min="1" max="1" width="16" customWidth="1"/>
    <col min="2" max="2" width="28" customWidth="1"/>
    <col min="3" max="3" width="38" customWidth="1"/>
    <col min="4" max="4" width="11" customWidth="1"/>
    <col min="5" max="5" width="34" customWidth="1"/>
    <col min="6" max="6" width="24" customWidth="1"/>
    <col min="7" max="7" width="13" customWidth="1"/>
    <col min="8" max="8" width="24" customWidth="1"/>
    <col min="9" max="9" width="38" customWidth="1"/>
    <col min="10" max="11" width="42" customWidth="1"/>
    <col min="12" max="12" width="28" customWidth="1"/>
    <col min="13" max="13" width="26" customWidth="1"/>
    <col min="14" max="14" width="48" customWidth="1"/>
    <col min="15" max="15" width="20" customWidth="1"/>
  </cols>
  <sheetData>
    <row r="1" spans="1:15" ht="42.75" customHeight="1" x14ac:dyDescent="0.15">
      <c r="A1" s="27" t="s">
        <v>167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53.25" customHeight="1" x14ac:dyDescent="0.15">
      <c r="A2" s="28" t="s">
        <v>168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ht="40" customHeight="1" x14ac:dyDescent="0.15">
      <c r="A3" s="29" t="s">
        <v>169</v>
      </c>
      <c r="B3" s="29"/>
      <c r="C3" s="6">
        <v>9</v>
      </c>
      <c r="D3" s="29" t="s">
        <v>170</v>
      </c>
      <c r="E3" s="29"/>
      <c r="F3" s="6">
        <f>COUNTA(E6:E41)</f>
        <v>36</v>
      </c>
      <c r="G3" s="29" t="s">
        <v>171</v>
      </c>
      <c r="H3" s="29"/>
      <c r="I3" s="6">
        <v>28</v>
      </c>
      <c r="J3" s="29" t="s">
        <v>172</v>
      </c>
      <c r="K3" s="29"/>
      <c r="L3" s="6">
        <f>COUNTIF(O6:O41,"Curado e verificado")</f>
        <v>36</v>
      </c>
      <c r="M3" s="29" t="s">
        <v>173</v>
      </c>
      <c r="N3" s="29"/>
      <c r="O3" s="6" t="s">
        <v>174</v>
      </c>
    </row>
    <row r="4" spans="1:15" ht="42.75" customHeight="1" x14ac:dyDescent="0.15">
      <c r="A4" s="30" t="s">
        <v>175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5" spans="1:15" ht="48" customHeight="1" x14ac:dyDescent="0.15">
      <c r="A5" s="7" t="s">
        <v>176</v>
      </c>
      <c r="B5" s="8" t="s">
        <v>177</v>
      </c>
      <c r="C5" s="8" t="s">
        <v>178</v>
      </c>
      <c r="D5" s="8" t="s">
        <v>179</v>
      </c>
      <c r="E5" s="8" t="s">
        <v>151</v>
      </c>
      <c r="F5" s="8" t="s">
        <v>180</v>
      </c>
      <c r="G5" s="8" t="s">
        <v>181</v>
      </c>
      <c r="H5" s="8" t="s">
        <v>182</v>
      </c>
      <c r="I5" s="8" t="s">
        <v>183</v>
      </c>
      <c r="J5" s="8" t="s">
        <v>184</v>
      </c>
      <c r="K5" s="8" t="s">
        <v>185</v>
      </c>
      <c r="L5" s="8" t="s">
        <v>186</v>
      </c>
      <c r="M5" s="8" t="s">
        <v>187</v>
      </c>
      <c r="N5" s="8" t="s">
        <v>188</v>
      </c>
      <c r="O5" s="9" t="s">
        <v>189</v>
      </c>
    </row>
    <row r="6" spans="1:15" ht="96" customHeight="1" x14ac:dyDescent="0.15">
      <c r="A6" s="10" t="s">
        <v>190</v>
      </c>
      <c r="B6" s="18" t="s">
        <v>191</v>
      </c>
      <c r="C6" s="11" t="s">
        <v>192</v>
      </c>
      <c r="D6" s="11" t="s">
        <v>193</v>
      </c>
      <c r="E6" s="11" t="s">
        <v>194</v>
      </c>
      <c r="F6" s="11" t="s">
        <v>195</v>
      </c>
      <c r="G6" s="11" t="s">
        <v>196</v>
      </c>
      <c r="H6" s="11" t="s">
        <v>197</v>
      </c>
      <c r="I6" s="11" t="s">
        <v>198</v>
      </c>
      <c r="J6" s="11" t="s">
        <v>199</v>
      </c>
      <c r="K6" s="11" t="s">
        <v>200</v>
      </c>
      <c r="L6" s="11" t="s">
        <v>201</v>
      </c>
      <c r="M6" s="11" t="s">
        <v>202</v>
      </c>
      <c r="N6" s="12" t="s">
        <v>203</v>
      </c>
      <c r="O6" s="13" t="s">
        <v>204</v>
      </c>
    </row>
    <row r="7" spans="1:15" ht="96" customHeight="1" x14ac:dyDescent="0.15">
      <c r="A7" s="10" t="s">
        <v>190</v>
      </c>
      <c r="B7" s="18" t="s">
        <v>191</v>
      </c>
      <c r="C7" s="11" t="s">
        <v>205</v>
      </c>
      <c r="D7" s="11" t="s">
        <v>206</v>
      </c>
      <c r="E7" s="11" t="s">
        <v>207</v>
      </c>
      <c r="F7" s="11" t="s">
        <v>208</v>
      </c>
      <c r="G7" s="11" t="s">
        <v>209</v>
      </c>
      <c r="H7" s="11" t="s">
        <v>210</v>
      </c>
      <c r="I7" s="11" t="s">
        <v>211</v>
      </c>
      <c r="J7" s="11" t="s">
        <v>212</v>
      </c>
      <c r="K7" s="11" t="s">
        <v>213</v>
      </c>
      <c r="L7" s="11" t="s">
        <v>214</v>
      </c>
      <c r="M7" s="11" t="s">
        <v>215</v>
      </c>
      <c r="N7" s="12" t="s">
        <v>216</v>
      </c>
      <c r="O7" s="13" t="s">
        <v>204</v>
      </c>
    </row>
    <row r="8" spans="1:15" ht="96" customHeight="1" x14ac:dyDescent="0.15">
      <c r="A8" s="10" t="s">
        <v>190</v>
      </c>
      <c r="B8" s="18" t="s">
        <v>191</v>
      </c>
      <c r="C8" s="11" t="s">
        <v>217</v>
      </c>
      <c r="D8" s="11" t="s">
        <v>218</v>
      </c>
      <c r="E8" s="11" t="s">
        <v>219</v>
      </c>
      <c r="F8" s="11" t="s">
        <v>220</v>
      </c>
      <c r="G8" s="11" t="s">
        <v>209</v>
      </c>
      <c r="H8" s="11" t="s">
        <v>221</v>
      </c>
      <c r="I8" s="11" t="s">
        <v>222</v>
      </c>
      <c r="J8" s="11" t="s">
        <v>223</v>
      </c>
      <c r="K8" s="11" t="s">
        <v>224</v>
      </c>
      <c r="L8" s="11" t="s">
        <v>225</v>
      </c>
      <c r="M8" s="11" t="s">
        <v>202</v>
      </c>
      <c r="N8" s="12" t="s">
        <v>226</v>
      </c>
      <c r="O8" s="13" t="s">
        <v>204</v>
      </c>
    </row>
    <row r="9" spans="1:15" ht="96" customHeight="1" x14ac:dyDescent="0.15">
      <c r="A9" s="10" t="s">
        <v>227</v>
      </c>
      <c r="B9" s="18" t="s">
        <v>191</v>
      </c>
      <c r="C9" s="11" t="s">
        <v>228</v>
      </c>
      <c r="D9" s="11" t="s">
        <v>229</v>
      </c>
      <c r="E9" s="11" t="s">
        <v>230</v>
      </c>
      <c r="F9" s="11" t="s">
        <v>231</v>
      </c>
      <c r="G9" s="11" t="s">
        <v>209</v>
      </c>
      <c r="H9" s="11" t="s">
        <v>232</v>
      </c>
      <c r="I9" s="11" t="s">
        <v>233</v>
      </c>
      <c r="J9" s="11" t="s">
        <v>234</v>
      </c>
      <c r="K9" s="11" t="s">
        <v>235</v>
      </c>
      <c r="L9" s="11" t="s">
        <v>236</v>
      </c>
      <c r="M9" s="11" t="s">
        <v>202</v>
      </c>
      <c r="N9" s="12" t="s">
        <v>237</v>
      </c>
      <c r="O9" s="13" t="s">
        <v>204</v>
      </c>
    </row>
    <row r="10" spans="1:15" ht="96" customHeight="1" x14ac:dyDescent="0.15">
      <c r="A10" s="10" t="s">
        <v>190</v>
      </c>
      <c r="B10" s="19" t="s">
        <v>238</v>
      </c>
      <c r="C10" s="11" t="s">
        <v>239</v>
      </c>
      <c r="D10" s="11" t="s">
        <v>240</v>
      </c>
      <c r="E10" s="11" t="s">
        <v>241</v>
      </c>
      <c r="F10" s="11" t="s">
        <v>242</v>
      </c>
      <c r="G10" s="11" t="s">
        <v>209</v>
      </c>
      <c r="H10" s="11" t="s">
        <v>221</v>
      </c>
      <c r="I10" s="11" t="s">
        <v>243</v>
      </c>
      <c r="J10" s="11" t="s">
        <v>244</v>
      </c>
      <c r="K10" s="11" t="s">
        <v>245</v>
      </c>
      <c r="L10" s="11" t="s">
        <v>246</v>
      </c>
      <c r="M10" s="11" t="s">
        <v>202</v>
      </c>
      <c r="N10" s="12" t="s">
        <v>247</v>
      </c>
      <c r="O10" s="13" t="s">
        <v>204</v>
      </c>
    </row>
    <row r="11" spans="1:15" ht="96" customHeight="1" x14ac:dyDescent="0.15">
      <c r="A11" s="10" t="s">
        <v>190</v>
      </c>
      <c r="B11" s="19" t="s">
        <v>238</v>
      </c>
      <c r="C11" s="11" t="s">
        <v>248</v>
      </c>
      <c r="D11" s="11" t="s">
        <v>249</v>
      </c>
      <c r="E11" s="11" t="s">
        <v>250</v>
      </c>
      <c r="F11" s="11" t="s">
        <v>251</v>
      </c>
      <c r="G11" s="11" t="s">
        <v>252</v>
      </c>
      <c r="H11" s="11" t="s">
        <v>253</v>
      </c>
      <c r="I11" s="11" t="s">
        <v>254</v>
      </c>
      <c r="J11" s="11" t="s">
        <v>255</v>
      </c>
      <c r="K11" s="11" t="s">
        <v>256</v>
      </c>
      <c r="L11" s="11" t="s">
        <v>257</v>
      </c>
      <c r="M11" s="11" t="s">
        <v>215</v>
      </c>
      <c r="N11" s="12" t="s">
        <v>258</v>
      </c>
      <c r="O11" s="13" t="s">
        <v>204</v>
      </c>
    </row>
    <row r="12" spans="1:15" ht="96" customHeight="1" x14ac:dyDescent="0.15">
      <c r="A12" s="10" t="s">
        <v>227</v>
      </c>
      <c r="B12" s="19" t="s">
        <v>238</v>
      </c>
      <c r="C12" s="11" t="s">
        <v>259</v>
      </c>
      <c r="D12" s="11" t="s">
        <v>260</v>
      </c>
      <c r="E12" s="11" t="s">
        <v>261</v>
      </c>
      <c r="F12" s="11" t="s">
        <v>262</v>
      </c>
      <c r="G12" s="11" t="s">
        <v>196</v>
      </c>
      <c r="H12" s="11" t="s">
        <v>263</v>
      </c>
      <c r="I12" s="11" t="s">
        <v>264</v>
      </c>
      <c r="J12" s="11" t="s">
        <v>265</v>
      </c>
      <c r="K12" s="11" t="s">
        <v>266</v>
      </c>
      <c r="L12" s="11" t="s">
        <v>267</v>
      </c>
      <c r="M12" s="11" t="s">
        <v>202</v>
      </c>
      <c r="N12" s="12" t="s">
        <v>268</v>
      </c>
      <c r="O12" s="13" t="s">
        <v>204</v>
      </c>
    </row>
    <row r="13" spans="1:15" ht="96" customHeight="1" x14ac:dyDescent="0.15">
      <c r="A13" s="10" t="s">
        <v>190</v>
      </c>
      <c r="B13" s="19" t="s">
        <v>238</v>
      </c>
      <c r="C13" s="11" t="s">
        <v>269</v>
      </c>
      <c r="D13" s="11" t="s">
        <v>270</v>
      </c>
      <c r="E13" s="11" t="s">
        <v>271</v>
      </c>
      <c r="F13" s="11" t="s">
        <v>272</v>
      </c>
      <c r="G13" s="11" t="s">
        <v>209</v>
      </c>
      <c r="H13" s="11" t="s">
        <v>273</v>
      </c>
      <c r="I13" s="11" t="s">
        <v>274</v>
      </c>
      <c r="J13" s="11" t="s">
        <v>275</v>
      </c>
      <c r="K13" s="11" t="s">
        <v>276</v>
      </c>
      <c r="L13" s="11" t="s">
        <v>277</v>
      </c>
      <c r="M13" s="11" t="s">
        <v>202</v>
      </c>
      <c r="N13" s="12" t="s">
        <v>278</v>
      </c>
      <c r="O13" s="13" t="s">
        <v>204</v>
      </c>
    </row>
    <row r="14" spans="1:15" ht="96" customHeight="1" x14ac:dyDescent="0.15">
      <c r="A14" s="10" t="s">
        <v>190</v>
      </c>
      <c r="B14" s="20" t="s">
        <v>279</v>
      </c>
      <c r="C14" s="11" t="s">
        <v>280</v>
      </c>
      <c r="D14" s="11" t="s">
        <v>281</v>
      </c>
      <c r="E14" s="11" t="s">
        <v>282</v>
      </c>
      <c r="F14" s="11" t="s">
        <v>283</v>
      </c>
      <c r="G14" s="11" t="s">
        <v>209</v>
      </c>
      <c r="H14" s="11" t="s">
        <v>197</v>
      </c>
      <c r="I14" s="11" t="s">
        <v>284</v>
      </c>
      <c r="J14" s="11" t="s">
        <v>285</v>
      </c>
      <c r="K14" s="11" t="s">
        <v>286</v>
      </c>
      <c r="L14" s="11" t="s">
        <v>287</v>
      </c>
      <c r="M14" s="11" t="s">
        <v>202</v>
      </c>
      <c r="N14" s="12" t="s">
        <v>288</v>
      </c>
      <c r="O14" s="13" t="s">
        <v>204</v>
      </c>
    </row>
    <row r="15" spans="1:15" ht="96" customHeight="1" x14ac:dyDescent="0.15">
      <c r="A15" s="10" t="s">
        <v>190</v>
      </c>
      <c r="B15" s="20" t="s">
        <v>279</v>
      </c>
      <c r="C15" s="11" t="s">
        <v>289</v>
      </c>
      <c r="D15" s="11" t="s">
        <v>290</v>
      </c>
      <c r="E15" s="11" t="s">
        <v>291</v>
      </c>
      <c r="F15" s="11" t="s">
        <v>292</v>
      </c>
      <c r="G15" s="11" t="s">
        <v>293</v>
      </c>
      <c r="H15" s="11" t="s">
        <v>294</v>
      </c>
      <c r="I15" s="11" t="s">
        <v>295</v>
      </c>
      <c r="J15" s="11" t="s">
        <v>296</v>
      </c>
      <c r="K15" s="11" t="s">
        <v>297</v>
      </c>
      <c r="L15" s="11" t="s">
        <v>298</v>
      </c>
      <c r="M15" s="11" t="s">
        <v>215</v>
      </c>
      <c r="N15" s="33" t="s">
        <v>299</v>
      </c>
      <c r="O15" s="13" t="s">
        <v>204</v>
      </c>
    </row>
    <row r="16" spans="1:15" ht="96" customHeight="1" x14ac:dyDescent="0.15">
      <c r="A16" s="10" t="s">
        <v>190</v>
      </c>
      <c r="B16" s="20" t="s">
        <v>279</v>
      </c>
      <c r="C16" s="11" t="s">
        <v>300</v>
      </c>
      <c r="D16" s="11" t="s">
        <v>301</v>
      </c>
      <c r="E16" s="11" t="s">
        <v>302</v>
      </c>
      <c r="F16" s="11" t="s">
        <v>303</v>
      </c>
      <c r="G16" s="11" t="s">
        <v>304</v>
      </c>
      <c r="H16" s="11" t="s">
        <v>305</v>
      </c>
      <c r="I16" s="11" t="s">
        <v>306</v>
      </c>
      <c r="J16" s="11" t="s">
        <v>307</v>
      </c>
      <c r="K16" s="11" t="s">
        <v>308</v>
      </c>
      <c r="L16" s="11" t="s">
        <v>309</v>
      </c>
      <c r="M16" s="11" t="s">
        <v>215</v>
      </c>
      <c r="N16" s="12" t="s">
        <v>310</v>
      </c>
      <c r="O16" s="13" t="s">
        <v>204</v>
      </c>
    </row>
    <row r="17" spans="1:15" ht="96" customHeight="1" x14ac:dyDescent="0.15">
      <c r="A17" s="10" t="s">
        <v>227</v>
      </c>
      <c r="B17" s="20" t="s">
        <v>279</v>
      </c>
      <c r="C17" s="11" t="s">
        <v>311</v>
      </c>
      <c r="D17" s="11" t="s">
        <v>312</v>
      </c>
      <c r="E17" s="11" t="s">
        <v>313</v>
      </c>
      <c r="F17" s="11" t="s">
        <v>314</v>
      </c>
      <c r="G17" s="11" t="s">
        <v>209</v>
      </c>
      <c r="H17" s="11" t="s">
        <v>315</v>
      </c>
      <c r="I17" s="11" t="s">
        <v>316</v>
      </c>
      <c r="J17" s="11" t="s">
        <v>317</v>
      </c>
      <c r="K17" s="11" t="s">
        <v>318</v>
      </c>
      <c r="L17" s="11" t="s">
        <v>319</v>
      </c>
      <c r="M17" s="11" t="s">
        <v>202</v>
      </c>
      <c r="N17" s="12" t="s">
        <v>320</v>
      </c>
      <c r="O17" s="13" t="s">
        <v>204</v>
      </c>
    </row>
    <row r="18" spans="1:15" ht="96" customHeight="1" x14ac:dyDescent="0.15">
      <c r="A18" s="10" t="s">
        <v>190</v>
      </c>
      <c r="B18" s="21" t="s">
        <v>321</v>
      </c>
      <c r="C18" s="11" t="s">
        <v>322</v>
      </c>
      <c r="D18" s="11" t="s">
        <v>323</v>
      </c>
      <c r="E18" s="11" t="s">
        <v>324</v>
      </c>
      <c r="F18" s="11" t="s">
        <v>325</v>
      </c>
      <c r="G18" s="11" t="s">
        <v>209</v>
      </c>
      <c r="H18" s="11" t="s">
        <v>326</v>
      </c>
      <c r="I18" s="11" t="s">
        <v>327</v>
      </c>
      <c r="J18" s="11" t="s">
        <v>328</v>
      </c>
      <c r="K18" s="11" t="s">
        <v>329</v>
      </c>
      <c r="L18" s="11" t="s">
        <v>330</v>
      </c>
      <c r="M18" s="11" t="s">
        <v>202</v>
      </c>
      <c r="N18" s="12" t="s">
        <v>331</v>
      </c>
      <c r="O18" s="13" t="s">
        <v>204</v>
      </c>
    </row>
    <row r="19" spans="1:15" ht="96" customHeight="1" x14ac:dyDescent="0.15">
      <c r="A19" s="10" t="s">
        <v>190</v>
      </c>
      <c r="B19" s="21" t="s">
        <v>321</v>
      </c>
      <c r="C19" s="11" t="s">
        <v>332</v>
      </c>
      <c r="D19" s="11" t="s">
        <v>333</v>
      </c>
      <c r="E19" s="11" t="s">
        <v>334</v>
      </c>
      <c r="F19" s="11" t="s">
        <v>335</v>
      </c>
      <c r="G19" s="11" t="s">
        <v>196</v>
      </c>
      <c r="H19" s="11" t="s">
        <v>336</v>
      </c>
      <c r="I19" s="11" t="s">
        <v>337</v>
      </c>
      <c r="J19" s="11" t="s">
        <v>338</v>
      </c>
      <c r="K19" s="11" t="s">
        <v>339</v>
      </c>
      <c r="L19" s="11" t="s">
        <v>340</v>
      </c>
      <c r="M19" s="11" t="s">
        <v>202</v>
      </c>
      <c r="N19" s="12" t="s">
        <v>341</v>
      </c>
      <c r="O19" s="13" t="s">
        <v>204</v>
      </c>
    </row>
    <row r="20" spans="1:15" ht="96" customHeight="1" x14ac:dyDescent="0.15">
      <c r="A20" s="10" t="s">
        <v>190</v>
      </c>
      <c r="B20" s="21" t="s">
        <v>321</v>
      </c>
      <c r="C20" s="11" t="s">
        <v>342</v>
      </c>
      <c r="D20" s="11" t="s">
        <v>343</v>
      </c>
      <c r="E20" s="11" t="s">
        <v>344</v>
      </c>
      <c r="F20" s="11" t="s">
        <v>345</v>
      </c>
      <c r="G20" s="11" t="s">
        <v>196</v>
      </c>
      <c r="H20" s="11" t="s">
        <v>346</v>
      </c>
      <c r="I20" s="11" t="s">
        <v>347</v>
      </c>
      <c r="J20" s="11" t="s">
        <v>348</v>
      </c>
      <c r="K20" s="11" t="s">
        <v>349</v>
      </c>
      <c r="L20" s="11" t="s">
        <v>350</v>
      </c>
      <c r="M20" s="11" t="s">
        <v>202</v>
      </c>
      <c r="N20" s="12" t="s">
        <v>351</v>
      </c>
      <c r="O20" s="13" t="s">
        <v>204</v>
      </c>
    </row>
    <row r="21" spans="1:15" ht="96" customHeight="1" x14ac:dyDescent="0.15">
      <c r="A21" s="10" t="s">
        <v>190</v>
      </c>
      <c r="B21" s="21" t="s">
        <v>321</v>
      </c>
      <c r="C21" s="11" t="s">
        <v>352</v>
      </c>
      <c r="D21" s="11" t="s">
        <v>353</v>
      </c>
      <c r="E21" s="11" t="s">
        <v>354</v>
      </c>
      <c r="F21" s="11" t="s">
        <v>355</v>
      </c>
      <c r="G21" s="11" t="s">
        <v>196</v>
      </c>
      <c r="H21" s="11" t="s">
        <v>356</v>
      </c>
      <c r="I21" s="11" t="s">
        <v>357</v>
      </c>
      <c r="J21" s="11" t="s">
        <v>358</v>
      </c>
      <c r="K21" s="11" t="s">
        <v>359</v>
      </c>
      <c r="L21" s="11" t="s">
        <v>360</v>
      </c>
      <c r="M21" s="11" t="s">
        <v>202</v>
      </c>
      <c r="N21" s="12" t="s">
        <v>361</v>
      </c>
      <c r="O21" s="13" t="s">
        <v>204</v>
      </c>
    </row>
    <row r="22" spans="1:15" ht="96" customHeight="1" x14ac:dyDescent="0.15">
      <c r="A22" s="10" t="s">
        <v>190</v>
      </c>
      <c r="B22" s="19" t="s">
        <v>362</v>
      </c>
      <c r="C22" s="11" t="s">
        <v>363</v>
      </c>
      <c r="D22" s="11" t="s">
        <v>364</v>
      </c>
      <c r="E22" s="11" t="s">
        <v>365</v>
      </c>
      <c r="F22" s="11" t="s">
        <v>366</v>
      </c>
      <c r="G22" s="11" t="s">
        <v>209</v>
      </c>
      <c r="H22" s="11" t="s">
        <v>367</v>
      </c>
      <c r="I22" s="11" t="s">
        <v>368</v>
      </c>
      <c r="J22" s="11" t="s">
        <v>369</v>
      </c>
      <c r="K22" s="11" t="s">
        <v>370</v>
      </c>
      <c r="L22" s="11" t="s">
        <v>371</v>
      </c>
      <c r="M22" s="11" t="s">
        <v>202</v>
      </c>
      <c r="N22" s="12" t="s">
        <v>372</v>
      </c>
      <c r="O22" s="13" t="s">
        <v>204</v>
      </c>
    </row>
    <row r="23" spans="1:15" ht="96" customHeight="1" x14ac:dyDescent="0.15">
      <c r="A23" s="10" t="s">
        <v>190</v>
      </c>
      <c r="B23" s="19" t="s">
        <v>362</v>
      </c>
      <c r="C23" s="11" t="s">
        <v>373</v>
      </c>
      <c r="D23" s="11" t="s">
        <v>312</v>
      </c>
      <c r="E23" s="11" t="s">
        <v>313</v>
      </c>
      <c r="F23" s="11" t="s">
        <v>314</v>
      </c>
      <c r="G23" s="11" t="s">
        <v>209</v>
      </c>
      <c r="H23" s="11" t="s">
        <v>315</v>
      </c>
      <c r="I23" s="11" t="s">
        <v>374</v>
      </c>
      <c r="J23" s="11" t="s">
        <v>375</v>
      </c>
      <c r="K23" s="11" t="s">
        <v>376</v>
      </c>
      <c r="L23" s="11" t="s">
        <v>377</v>
      </c>
      <c r="M23" s="11" t="s">
        <v>202</v>
      </c>
      <c r="N23" s="12" t="s">
        <v>320</v>
      </c>
      <c r="O23" s="13" t="s">
        <v>204</v>
      </c>
    </row>
    <row r="24" spans="1:15" ht="96" customHeight="1" x14ac:dyDescent="0.15">
      <c r="A24" s="10" t="s">
        <v>190</v>
      </c>
      <c r="B24" s="19" t="s">
        <v>362</v>
      </c>
      <c r="C24" s="11" t="s">
        <v>378</v>
      </c>
      <c r="D24" s="11" t="s">
        <v>290</v>
      </c>
      <c r="E24" s="11" t="s">
        <v>291</v>
      </c>
      <c r="F24" s="11" t="s">
        <v>292</v>
      </c>
      <c r="G24" s="11" t="s">
        <v>293</v>
      </c>
      <c r="H24" s="11" t="s">
        <v>294</v>
      </c>
      <c r="I24" s="11" t="s">
        <v>379</v>
      </c>
      <c r="J24" s="11" t="s">
        <v>380</v>
      </c>
      <c r="K24" s="11" t="s">
        <v>381</v>
      </c>
      <c r="L24" s="11" t="s">
        <v>382</v>
      </c>
      <c r="M24" s="11" t="s">
        <v>215</v>
      </c>
      <c r="N24" s="12" t="s">
        <v>299</v>
      </c>
      <c r="O24" s="13" t="s">
        <v>204</v>
      </c>
    </row>
    <row r="25" spans="1:15" ht="96" customHeight="1" x14ac:dyDescent="0.15">
      <c r="A25" s="10" t="s">
        <v>227</v>
      </c>
      <c r="B25" s="19" t="s">
        <v>362</v>
      </c>
      <c r="C25" s="11" t="s">
        <v>383</v>
      </c>
      <c r="D25" s="11" t="s">
        <v>384</v>
      </c>
      <c r="E25" s="11" t="s">
        <v>385</v>
      </c>
      <c r="F25" s="11" t="s">
        <v>386</v>
      </c>
      <c r="G25" s="11" t="s">
        <v>209</v>
      </c>
      <c r="H25" s="11" t="s">
        <v>387</v>
      </c>
      <c r="I25" s="11" t="s">
        <v>388</v>
      </c>
      <c r="J25" s="11" t="s">
        <v>389</v>
      </c>
      <c r="K25" s="11" t="s">
        <v>390</v>
      </c>
      <c r="L25" s="11" t="s">
        <v>391</v>
      </c>
      <c r="M25" s="11" t="s">
        <v>202</v>
      </c>
      <c r="N25" s="12" t="s">
        <v>392</v>
      </c>
      <c r="O25" s="13" t="s">
        <v>204</v>
      </c>
    </row>
    <row r="26" spans="1:15" ht="96" customHeight="1" x14ac:dyDescent="0.15">
      <c r="A26" s="10" t="s">
        <v>190</v>
      </c>
      <c r="B26" s="22" t="s">
        <v>393</v>
      </c>
      <c r="C26" s="11" t="s">
        <v>394</v>
      </c>
      <c r="D26" s="11" t="s">
        <v>270</v>
      </c>
      <c r="E26" s="11" t="s">
        <v>271</v>
      </c>
      <c r="F26" s="11" t="s">
        <v>272</v>
      </c>
      <c r="G26" s="11" t="s">
        <v>209</v>
      </c>
      <c r="H26" s="11" t="s">
        <v>273</v>
      </c>
      <c r="I26" s="11" t="s">
        <v>395</v>
      </c>
      <c r="J26" s="11" t="s">
        <v>396</v>
      </c>
      <c r="K26" s="11" t="s">
        <v>397</v>
      </c>
      <c r="L26" s="11" t="s">
        <v>398</v>
      </c>
      <c r="M26" s="11" t="s">
        <v>202</v>
      </c>
      <c r="N26" s="12" t="s">
        <v>278</v>
      </c>
      <c r="O26" s="13" t="s">
        <v>204</v>
      </c>
    </row>
    <row r="27" spans="1:15" ht="96" customHeight="1" x14ac:dyDescent="0.15">
      <c r="A27" s="10" t="s">
        <v>190</v>
      </c>
      <c r="B27" s="22" t="s">
        <v>393</v>
      </c>
      <c r="C27" s="11" t="s">
        <v>399</v>
      </c>
      <c r="D27" s="11" t="s">
        <v>400</v>
      </c>
      <c r="E27" s="11" t="s">
        <v>401</v>
      </c>
      <c r="F27" s="11" t="s">
        <v>2</v>
      </c>
      <c r="G27" s="11" t="s">
        <v>196</v>
      </c>
      <c r="H27" s="11" t="s">
        <v>402</v>
      </c>
      <c r="I27" s="11" t="s">
        <v>403</v>
      </c>
      <c r="J27" s="11" t="s">
        <v>404</v>
      </c>
      <c r="K27" s="11" t="s">
        <v>405</v>
      </c>
      <c r="L27" s="11" t="s">
        <v>406</v>
      </c>
      <c r="M27" s="11" t="s">
        <v>202</v>
      </c>
      <c r="N27" s="12" t="s">
        <v>407</v>
      </c>
      <c r="O27" s="13" t="s">
        <v>204</v>
      </c>
    </row>
    <row r="28" spans="1:15" ht="96" customHeight="1" x14ac:dyDescent="0.15">
      <c r="A28" s="10" t="s">
        <v>190</v>
      </c>
      <c r="B28" s="22" t="s">
        <v>393</v>
      </c>
      <c r="C28" s="11" t="s">
        <v>408</v>
      </c>
      <c r="D28" s="11" t="s">
        <v>193</v>
      </c>
      <c r="E28" s="11" t="s">
        <v>194</v>
      </c>
      <c r="F28" s="11" t="s">
        <v>195</v>
      </c>
      <c r="G28" s="11" t="s">
        <v>196</v>
      </c>
      <c r="H28" s="11" t="s">
        <v>197</v>
      </c>
      <c r="I28" s="11" t="s">
        <v>409</v>
      </c>
      <c r="J28" s="11" t="s">
        <v>410</v>
      </c>
      <c r="K28" s="11" t="s">
        <v>411</v>
      </c>
      <c r="L28" s="11" t="s">
        <v>412</v>
      </c>
      <c r="M28" s="11" t="s">
        <v>202</v>
      </c>
      <c r="N28" s="12" t="s">
        <v>203</v>
      </c>
      <c r="O28" s="13" t="s">
        <v>204</v>
      </c>
    </row>
    <row r="29" spans="1:15" ht="96" customHeight="1" x14ac:dyDescent="0.15">
      <c r="A29" s="10" t="s">
        <v>227</v>
      </c>
      <c r="B29" s="22" t="s">
        <v>393</v>
      </c>
      <c r="C29" s="11" t="s">
        <v>413</v>
      </c>
      <c r="D29" s="11" t="s">
        <v>414</v>
      </c>
      <c r="E29" s="11" t="s">
        <v>415</v>
      </c>
      <c r="F29" s="11" t="s">
        <v>416</v>
      </c>
      <c r="G29" s="11" t="s">
        <v>196</v>
      </c>
      <c r="H29" s="11" t="s">
        <v>417</v>
      </c>
      <c r="I29" s="11" t="s">
        <v>418</v>
      </c>
      <c r="J29" s="11" t="s">
        <v>419</v>
      </c>
      <c r="K29" s="11" t="s">
        <v>420</v>
      </c>
      <c r="L29" s="11" t="s">
        <v>421</v>
      </c>
      <c r="M29" s="11" t="s">
        <v>202</v>
      </c>
      <c r="N29" s="12" t="s">
        <v>422</v>
      </c>
      <c r="O29" s="13" t="s">
        <v>204</v>
      </c>
    </row>
    <row r="30" spans="1:15" ht="96" customHeight="1" x14ac:dyDescent="0.15">
      <c r="A30" s="10" t="s">
        <v>190</v>
      </c>
      <c r="B30" s="23" t="s">
        <v>423</v>
      </c>
      <c r="C30" s="11" t="s">
        <v>424</v>
      </c>
      <c r="D30" s="11" t="s">
        <v>343</v>
      </c>
      <c r="E30" s="11" t="s">
        <v>344</v>
      </c>
      <c r="F30" s="11" t="s">
        <v>345</v>
      </c>
      <c r="G30" s="11" t="s">
        <v>196</v>
      </c>
      <c r="H30" s="11" t="s">
        <v>346</v>
      </c>
      <c r="I30" s="11" t="s">
        <v>425</v>
      </c>
      <c r="J30" s="11" t="s">
        <v>426</v>
      </c>
      <c r="K30" s="11" t="s">
        <v>427</v>
      </c>
      <c r="L30" s="11" t="s">
        <v>428</v>
      </c>
      <c r="M30" s="11" t="s">
        <v>202</v>
      </c>
      <c r="N30" s="12" t="s">
        <v>351</v>
      </c>
      <c r="O30" s="13" t="s">
        <v>204</v>
      </c>
    </row>
    <row r="31" spans="1:15" ht="96" customHeight="1" x14ac:dyDescent="0.15">
      <c r="A31" s="10" t="s">
        <v>190</v>
      </c>
      <c r="B31" s="23" t="s">
        <v>423</v>
      </c>
      <c r="C31" s="11" t="s">
        <v>429</v>
      </c>
      <c r="D31" s="11" t="s">
        <v>301</v>
      </c>
      <c r="E31" s="11" t="s">
        <v>302</v>
      </c>
      <c r="F31" s="11" t="s">
        <v>303</v>
      </c>
      <c r="G31" s="11" t="s">
        <v>304</v>
      </c>
      <c r="H31" s="11" t="s">
        <v>305</v>
      </c>
      <c r="I31" s="11" t="s">
        <v>430</v>
      </c>
      <c r="J31" s="11" t="s">
        <v>431</v>
      </c>
      <c r="K31" s="11" t="s">
        <v>432</v>
      </c>
      <c r="L31" s="11" t="s">
        <v>433</v>
      </c>
      <c r="M31" s="11" t="s">
        <v>215</v>
      </c>
      <c r="N31" s="12" t="s">
        <v>310</v>
      </c>
      <c r="O31" s="13" t="s">
        <v>204</v>
      </c>
    </row>
    <row r="32" spans="1:15" ht="96" customHeight="1" x14ac:dyDescent="0.15">
      <c r="A32" s="10" t="s">
        <v>190</v>
      </c>
      <c r="B32" s="23" t="s">
        <v>423</v>
      </c>
      <c r="C32" s="11" t="s">
        <v>434</v>
      </c>
      <c r="D32" s="11" t="s">
        <v>206</v>
      </c>
      <c r="E32" s="11" t="s">
        <v>207</v>
      </c>
      <c r="F32" s="11" t="s">
        <v>208</v>
      </c>
      <c r="G32" s="11" t="s">
        <v>209</v>
      </c>
      <c r="H32" s="11" t="s">
        <v>210</v>
      </c>
      <c r="I32" s="11" t="s">
        <v>435</v>
      </c>
      <c r="J32" s="11" t="s">
        <v>436</v>
      </c>
      <c r="K32" s="11" t="s">
        <v>437</v>
      </c>
      <c r="L32" s="11" t="s">
        <v>438</v>
      </c>
      <c r="M32" s="11" t="s">
        <v>215</v>
      </c>
      <c r="N32" s="12" t="s">
        <v>216</v>
      </c>
      <c r="O32" s="13" t="s">
        <v>204</v>
      </c>
    </row>
    <row r="33" spans="1:15" ht="96" customHeight="1" x14ac:dyDescent="0.15">
      <c r="A33" s="10" t="s">
        <v>227</v>
      </c>
      <c r="B33" s="23" t="s">
        <v>423</v>
      </c>
      <c r="C33" s="11" t="s">
        <v>439</v>
      </c>
      <c r="D33" s="11" t="s">
        <v>440</v>
      </c>
      <c r="E33" s="11" t="s">
        <v>441</v>
      </c>
      <c r="F33" s="11" t="s">
        <v>442</v>
      </c>
      <c r="G33" s="11" t="s">
        <v>209</v>
      </c>
      <c r="H33" s="11" t="s">
        <v>443</v>
      </c>
      <c r="I33" s="11" t="s">
        <v>444</v>
      </c>
      <c r="J33" s="11" t="s">
        <v>445</v>
      </c>
      <c r="K33" s="11" t="s">
        <v>446</v>
      </c>
      <c r="L33" s="11" t="s">
        <v>447</v>
      </c>
      <c r="M33" s="11" t="s">
        <v>202</v>
      </c>
      <c r="N33" s="12" t="s">
        <v>448</v>
      </c>
      <c r="O33" s="13" t="s">
        <v>204</v>
      </c>
    </row>
    <row r="34" spans="1:15" ht="96" customHeight="1" x14ac:dyDescent="0.15">
      <c r="A34" s="10" t="s">
        <v>190</v>
      </c>
      <c r="B34" s="24" t="s">
        <v>449</v>
      </c>
      <c r="C34" s="11" t="s">
        <v>450</v>
      </c>
      <c r="D34" s="11" t="s">
        <v>451</v>
      </c>
      <c r="E34" s="11" t="s">
        <v>452</v>
      </c>
      <c r="F34" s="11" t="s">
        <v>453</v>
      </c>
      <c r="G34" s="11" t="s">
        <v>454</v>
      </c>
      <c r="H34" s="11" t="s">
        <v>455</v>
      </c>
      <c r="I34" s="11" t="s">
        <v>456</v>
      </c>
      <c r="J34" s="11" t="s">
        <v>457</v>
      </c>
      <c r="K34" s="11" t="s">
        <v>458</v>
      </c>
      <c r="L34" s="11" t="s">
        <v>459</v>
      </c>
      <c r="M34" s="11" t="s">
        <v>202</v>
      </c>
      <c r="N34" s="12" t="s">
        <v>460</v>
      </c>
      <c r="O34" s="13" t="s">
        <v>204</v>
      </c>
    </row>
    <row r="35" spans="1:15" ht="96" customHeight="1" x14ac:dyDescent="0.15">
      <c r="A35" s="10" t="s">
        <v>190</v>
      </c>
      <c r="B35" s="24" t="s">
        <v>449</v>
      </c>
      <c r="C35" s="11" t="s">
        <v>461</v>
      </c>
      <c r="D35" s="11" t="s">
        <v>462</v>
      </c>
      <c r="E35" s="11" t="s">
        <v>463</v>
      </c>
      <c r="F35" s="11" t="s">
        <v>464</v>
      </c>
      <c r="G35" s="11" t="s">
        <v>209</v>
      </c>
      <c r="H35" s="11" t="s">
        <v>465</v>
      </c>
      <c r="I35" s="11" t="s">
        <v>466</v>
      </c>
      <c r="J35" s="11" t="s">
        <v>467</v>
      </c>
      <c r="K35" s="11" t="s">
        <v>468</v>
      </c>
      <c r="L35" s="11" t="s">
        <v>469</v>
      </c>
      <c r="M35" s="11" t="s">
        <v>202</v>
      </c>
      <c r="N35" s="12" t="s">
        <v>470</v>
      </c>
      <c r="O35" s="13" t="s">
        <v>204</v>
      </c>
    </row>
    <row r="36" spans="1:15" ht="96" customHeight="1" x14ac:dyDescent="0.15">
      <c r="A36" s="10" t="s">
        <v>227</v>
      </c>
      <c r="B36" s="24" t="s">
        <v>449</v>
      </c>
      <c r="C36" s="11" t="s">
        <v>471</v>
      </c>
      <c r="D36" s="11" t="s">
        <v>472</v>
      </c>
      <c r="E36" s="11" t="s">
        <v>473</v>
      </c>
      <c r="F36" s="11" t="s">
        <v>464</v>
      </c>
      <c r="G36" s="11" t="s">
        <v>209</v>
      </c>
      <c r="H36" s="11" t="s">
        <v>474</v>
      </c>
      <c r="I36" s="11" t="s">
        <v>475</v>
      </c>
      <c r="J36" s="11" t="s">
        <v>476</v>
      </c>
      <c r="K36" s="11" t="s">
        <v>477</v>
      </c>
      <c r="L36" s="11" t="s">
        <v>478</v>
      </c>
      <c r="M36" s="11" t="s">
        <v>202</v>
      </c>
      <c r="N36" s="12" t="s">
        <v>479</v>
      </c>
      <c r="O36" s="13" t="s">
        <v>204</v>
      </c>
    </row>
    <row r="37" spans="1:15" ht="96" customHeight="1" x14ac:dyDescent="0.15">
      <c r="A37" s="10" t="s">
        <v>190</v>
      </c>
      <c r="B37" s="24" t="s">
        <v>449</v>
      </c>
      <c r="C37" s="11" t="s">
        <v>480</v>
      </c>
      <c r="D37" s="11" t="s">
        <v>481</v>
      </c>
      <c r="E37" s="11" t="s">
        <v>482</v>
      </c>
      <c r="F37" s="11" t="s">
        <v>483</v>
      </c>
      <c r="G37" s="11" t="s">
        <v>209</v>
      </c>
      <c r="H37" s="11" t="s">
        <v>484</v>
      </c>
      <c r="I37" s="11" t="s">
        <v>485</v>
      </c>
      <c r="J37" s="11" t="s">
        <v>486</v>
      </c>
      <c r="K37" s="11" t="s">
        <v>487</v>
      </c>
      <c r="L37" s="11" t="s">
        <v>488</v>
      </c>
      <c r="M37" s="11" t="s">
        <v>202</v>
      </c>
      <c r="N37" s="12" t="s">
        <v>489</v>
      </c>
      <c r="O37" s="13" t="s">
        <v>204</v>
      </c>
    </row>
    <row r="38" spans="1:15" ht="96" customHeight="1" x14ac:dyDescent="0.15">
      <c r="A38" s="10" t="s">
        <v>227</v>
      </c>
      <c r="B38" s="24" t="s">
        <v>449</v>
      </c>
      <c r="C38" s="11" t="s">
        <v>490</v>
      </c>
      <c r="D38" s="11" t="s">
        <v>333</v>
      </c>
      <c r="E38" s="11" t="s">
        <v>334</v>
      </c>
      <c r="F38" s="11" t="s">
        <v>335</v>
      </c>
      <c r="G38" s="11" t="s">
        <v>196</v>
      </c>
      <c r="H38" s="11" t="s">
        <v>336</v>
      </c>
      <c r="I38" s="11" t="s">
        <v>491</v>
      </c>
      <c r="J38" s="11" t="s">
        <v>492</v>
      </c>
      <c r="K38" s="11" t="s">
        <v>493</v>
      </c>
      <c r="L38" s="11" t="s">
        <v>494</v>
      </c>
      <c r="M38" s="11" t="s">
        <v>202</v>
      </c>
      <c r="N38" s="12" t="s">
        <v>341</v>
      </c>
      <c r="O38" s="13" t="s">
        <v>204</v>
      </c>
    </row>
    <row r="39" spans="1:15" ht="96" customHeight="1" x14ac:dyDescent="0.15">
      <c r="A39" s="10" t="s">
        <v>495</v>
      </c>
      <c r="B39" s="25" t="s">
        <v>496</v>
      </c>
      <c r="C39" s="11" t="s">
        <v>497</v>
      </c>
      <c r="D39" s="11" t="s">
        <v>498</v>
      </c>
      <c r="E39" s="11" t="s">
        <v>499</v>
      </c>
      <c r="F39" s="11" t="s">
        <v>500</v>
      </c>
      <c r="G39" s="11" t="s">
        <v>293</v>
      </c>
      <c r="H39" s="11" t="s">
        <v>501</v>
      </c>
      <c r="I39" s="11" t="s">
        <v>502</v>
      </c>
      <c r="J39" s="11" t="s">
        <v>503</v>
      </c>
      <c r="K39" s="11" t="s">
        <v>504</v>
      </c>
      <c r="L39" s="11" t="s">
        <v>505</v>
      </c>
      <c r="M39" s="11" t="s">
        <v>202</v>
      </c>
      <c r="N39" s="12" t="s">
        <v>506</v>
      </c>
      <c r="O39" s="13" t="s">
        <v>204</v>
      </c>
    </row>
    <row r="40" spans="1:15" ht="96" customHeight="1" x14ac:dyDescent="0.15">
      <c r="A40" s="10" t="s">
        <v>495</v>
      </c>
      <c r="B40" s="25" t="s">
        <v>496</v>
      </c>
      <c r="C40" s="11" t="s">
        <v>507</v>
      </c>
      <c r="D40" s="11" t="s">
        <v>508</v>
      </c>
      <c r="E40" s="11" t="s">
        <v>509</v>
      </c>
      <c r="F40" s="11" t="s">
        <v>500</v>
      </c>
      <c r="G40" s="11" t="s">
        <v>209</v>
      </c>
      <c r="H40" s="11" t="s">
        <v>510</v>
      </c>
      <c r="I40" s="11" t="s">
        <v>511</v>
      </c>
      <c r="J40" s="11" t="s">
        <v>512</v>
      </c>
      <c r="K40" s="11" t="s">
        <v>513</v>
      </c>
      <c r="L40" s="11" t="s">
        <v>514</v>
      </c>
      <c r="M40" s="11" t="s">
        <v>202</v>
      </c>
      <c r="N40" s="12" t="s">
        <v>515</v>
      </c>
      <c r="O40" s="13" t="s">
        <v>204</v>
      </c>
    </row>
    <row r="41" spans="1:15" ht="96" customHeight="1" x14ac:dyDescent="0.15">
      <c r="A41" s="14" t="s">
        <v>495</v>
      </c>
      <c r="B41" s="26" t="s">
        <v>496</v>
      </c>
      <c r="C41" s="15" t="s">
        <v>516</v>
      </c>
      <c r="D41" s="15" t="s">
        <v>517</v>
      </c>
      <c r="E41" s="15" t="s">
        <v>518</v>
      </c>
      <c r="F41" s="15" t="s">
        <v>519</v>
      </c>
      <c r="G41" s="15" t="s">
        <v>293</v>
      </c>
      <c r="H41" s="15" t="s">
        <v>520</v>
      </c>
      <c r="I41" s="15" t="s">
        <v>521</v>
      </c>
      <c r="J41" s="15" t="s">
        <v>522</v>
      </c>
      <c r="K41" s="15" t="s">
        <v>523</v>
      </c>
      <c r="L41" s="15" t="s">
        <v>524</v>
      </c>
      <c r="M41" s="15" t="s">
        <v>202</v>
      </c>
      <c r="N41" s="16" t="s">
        <v>525</v>
      </c>
      <c r="O41" s="17" t="s">
        <v>204</v>
      </c>
    </row>
  </sheetData>
  <mergeCells count="8">
    <mergeCell ref="A4:O4"/>
    <mergeCell ref="A1:O1"/>
    <mergeCell ref="A2:O2"/>
    <mergeCell ref="A3:B3"/>
    <mergeCell ref="D3:E3"/>
    <mergeCell ref="G3:H3"/>
    <mergeCell ref="J3:K3"/>
    <mergeCell ref="M3:N3"/>
  </mergeCells>
  <conditionalFormatting sqref="A6:A41">
    <cfRule type="expression" dxfId="5" priority="1">
      <formula>A6="A — direta"</formula>
    </cfRule>
    <cfRule type="expression" dxfId="4" priority="2">
      <formula>A6="B — transversal"</formula>
    </cfRule>
    <cfRule type="expression" dxfId="3" priority="3">
      <formula>A6="C — técnica/LED"</formula>
    </cfRule>
  </conditionalFormatting>
  <conditionalFormatting sqref="M6:M41">
    <cfRule type="expression" dxfId="2" priority="5">
      <formula>LEFT(M6,7)="Arquivo"</formula>
    </cfRule>
    <cfRule type="expression" dxfId="1" priority="6">
      <formula>LEFT(M6,11)="Complemento"</formula>
    </cfRule>
  </conditionalFormatting>
  <conditionalFormatting sqref="O6:O41">
    <cfRule type="expression" dxfId="0" priority="4">
      <formula>O6="Curado e verificado"</formula>
    </cfRule>
  </conditionalFormatting>
  <hyperlinks>
    <hyperlink ref="N15" r:id="rId1" xr:uid="{8B378E9D-1AEA-144E-B6F1-C6E0A1FAB12A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Referências de fontes</vt:lpstr>
      <vt:lpstr>Curadoria por 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Novais</cp:lastModifiedBy>
  <dcterms:modified xsi:type="dcterms:W3CDTF">2026-08-06T08:11:44Z</dcterms:modified>
</cp:coreProperties>
</file>