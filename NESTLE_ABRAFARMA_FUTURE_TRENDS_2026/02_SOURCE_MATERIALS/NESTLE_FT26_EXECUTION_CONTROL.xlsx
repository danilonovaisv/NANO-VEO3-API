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sset Matrix" sheetId="2" state="visible" r:id="rId2"/>
    <sheet xmlns:r="http://schemas.openxmlformats.org/officeDocument/2006/relationships" name="Technical Specs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QA" sheetId="8" state="visible" r:id="rId8"/>
    <sheet xmlns:r="http://schemas.openxmlformats.org/officeDocument/2006/relationships" name="Delivery" sheetId="9" state="visible" r:id="rId9"/>
    <sheet xmlns:r="http://schemas.openxmlformats.org/officeDocument/2006/relationships" name="Lists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0B1F3A"/>
      <sz val="11"/>
    </font>
  </fonts>
  <fills count="5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EEF2F5"/>
      </patternFill>
    </fill>
    <fill>
      <patternFill patternType="solid">
        <fgColor rgb="FF0057B8"/>
      </patternFill>
    </fill>
  </fills>
  <borders count="2">
    <border/>
    <border/>
  </borders>
  <cellStyleXfs count="1">
    <xf numFmtId="0" fontId="0" fillId="0" borderId="1"/>
  </cellStyleXfs>
  <cellXfs count="3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dxfs count="7"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Assets by Placement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Assets</v>
          </tx>
          <spPr>
            <a:ln xmlns:a="http://schemas.openxmlformats.org/drawingml/2006/main">
              <a:prstDash val="solid"/>
            </a:ln>
          </spPr>
          <cat>
            <strRef>
              <f>'Dashboard'!$D$4:$D$10</f>
              <strCache>
                <ptCount val="0"/>
              </strCache>
            </strRef>
          </cat>
          <val>
            <numRef>
              <f>'Dashboard'!$E$4:$E$10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ssetMatrixTable" displayName="AssetMatrixTable" ref="A1:AA56" headerRowCount="1">
  <tableColumns count="27">
    <tableColumn id="1" name="Asset_ID"/>
    <tableColumn id="2" name="Placement_Code"/>
    <tableColumn id="3" name="Placement_Name"/>
    <tableColumn id="4" name="Source_Asset"/>
    <tableColumn id="5" name="Brand_Content"/>
    <tableColumn id="6" name="Owner"/>
    <tableColumn id="7" name="Comments_MKT"/>
    <tableColumn id="8" name="Source_Link"/>
    <tableColumn id="9" name="Brief_Directional"/>
    <tableColumn id="10" name="Directional_Status"/>
    <tableColumn id="11" name="Roteiro_Status"/>
    <tableColumn id="12" name="Material_Link"/>
    <tableColumn id="13" name="KV_Status"/>
    <tableColumn id="14" name="Mockup_Status"/>
    <tableColumn id="15" name="Campaign_Status"/>
    <tableColumn id="16" name="Video_Status"/>
    <tableColumn id="17" name="Complexity"/>
    <tableColumn id="18" name="Input_Status"/>
    <tableColumn id="19" name="Production_Status"/>
    <tableColumn id="20" name="Approval_Status"/>
    <tableColumn id="21" name="Legal_Status"/>
    <tableColumn id="22" name="Tech_Status"/>
    <tableColumn id="23" name="Priority"/>
    <tableColumn id="24" name="Due_Date"/>
    <tableColumn id="25" name="Delivery_Link"/>
    <tableColumn id="26" name="Blockers"/>
    <tableColumn id="27" name="Notes"/>
  </tableColumns>
  <tableStyleInfo name="TableStyleMedium2" showRowStripes="1"/>
</table>
</file>

<file path=xl/tables/table2.xml><?xml version="1.0" encoding="utf-8"?>
<table xmlns="http://schemas.openxmlformats.org/spreadsheetml/2006/main" id="2" name="TechnicalSpecsTable" displayName="TechnicalSpecsTable" ref="A1:I9" headerRowCount="1">
  <tableColumns count="9">
    <tableColumn id="1" name="Placement_Code"/>
    <tableColumn id="2" name="Placement_Name"/>
    <tableColumn id="3" name="Width_px"/>
    <tableColumn id="4" name="Height_px"/>
    <tableColumn id="5" name="FPS"/>
    <tableColumn id="6" name="Video_Codec"/>
    <tableColumn id="7" name="Container"/>
    <tableColumn id="8" name="Audio_Codec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RACITable" displayName="RACITable" ref="A1:F13" headerRowCount="1">
  <tableColumns count="6">
    <tableColumn id="1" name="Role"/>
    <tableColumn id="2" name="Responsibility"/>
    <tableColumn id="3" name="RACI"/>
    <tableColumn id="4" name="Name"/>
    <tableColumn id="5" name="Contact"/>
    <tableColumn id="6" name="Notes"/>
  </tableColumns>
  <tableStyleInfo name="TableStyleMedium2" showRowStripes="1"/>
</table>
</file>

<file path=xl/tables/table4.xml><?xml version="1.0" encoding="utf-8"?>
<table xmlns="http://schemas.openxmlformats.org/spreadsheetml/2006/main" id="4" name="RiskTable" displayName="RiskTable" ref="A1:G17" headerRowCount="1">
  <tableColumns count="7">
    <tableColumn id="1" name="Risk_ID"/>
    <tableColumn id="2" name="Risk"/>
    <tableColumn id="3" name="Level"/>
    <tableColumn id="4" name="Evidence"/>
    <tableColumn id="5" name="Impact"/>
    <tableColumn id="6" name="Preventive_Action"/>
    <tableColumn id="7" name="Status"/>
  </tableColumns>
  <tableStyleInfo name="TableStyleMedium2" showRowStripes="1"/>
</table>
</file>

<file path=xl/tables/table5.xml><?xml version="1.0" encoding="utf-8"?>
<table xmlns="http://schemas.openxmlformats.org/spreadsheetml/2006/main" id="5" name="QATable" displayName="QATable" ref="A1:U56" headerRowCount="1">
  <tableColumns count="21">
    <tableColumn id="1" name="Asset_ID"/>
    <tableColumn id="2" name="Placement"/>
    <tableColumn id="3" name="Brand_Content"/>
    <tableColumn id="4" name="File_Name"/>
    <tableColumn id="5" name="Revision"/>
    <tableColumn id="6" name="Resolution_OK"/>
    <tableColumn id="7" name="FPS_OK"/>
    <tableColumn id="8" name="Codec_OK"/>
    <tableColumn id="9" name="Duration_OK"/>
    <tableColumn id="10" name="Audio_OK"/>
    <tableColumn id="11" name="No_Black_Frames"/>
    <tableColumn id="12" name="Loop_OK"/>
    <tableColumn id="13" name="Copy_OK"/>
    <tableColumn id="14" name="Claim_OK"/>
    <tableColumn id="15" name="Disclaimer_OK"/>
    <tableColumn id="16" name="Approval_OK"/>
    <tableColumn id="17" name="Checksum_OK"/>
    <tableColumn id="18" name="QA_Result"/>
    <tableColumn id="19" name="QA_Reviewer"/>
    <tableColumn id="20" name="QA_Date"/>
    <tableColumn id="21" name="Notes"/>
  </tableColumns>
  <tableStyleInfo name="TableStyleMedium2" showRowStripes="1"/>
</table>
</file>

<file path=xl/tables/table6.xml><?xml version="1.0" encoding="utf-8"?>
<table xmlns="http://schemas.openxmlformats.org/spreadsheetml/2006/main" id="6" name="DeliveryTable" displayName="DeliveryTable" ref="A1:M56" headerRowCount="1">
  <tableColumns count="13">
    <tableColumn id="1" name="Asset_ID"/>
    <tableColumn id="2" name="Placement"/>
    <tableColumn id="3" name="Brand_Content"/>
    <tableColumn id="4" name="Master_File"/>
    <tableColumn id="5" name="Backup_File"/>
    <tableColumn id="6" name="File_Size_MB"/>
    <tableColumn id="7" name="SHA256"/>
    <tableColumn id="8" name="Delivery_Link"/>
    <tableColumn id="9" name="Delivered_By"/>
    <tableColumn id="10" name="Delivered_At"/>
    <tableColumn id="11" name="Receiver"/>
    <tableColumn id="12" name="Receipt_Confirmed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30" customWidth="1" min="5" max="5"/>
    <col width="25" customWidth="1" min="6" max="6"/>
    <col width="5" customWidth="1" min="7" max="7"/>
    <col width="5" customWidth="1" min="8" max="8"/>
  </cols>
  <sheetData>
    <row r="1" ht="32" customHeight="1">
      <c r="A1" s="19" t="inlineStr">
        <is>
          <t>NESTLÉ — ABRAFARMA FUTURE TRENDS 2026 | EXECUTION DASHBOARD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6" t="inlineStr">
        <is>
          <t>KPI</t>
        </is>
      </c>
      <c r="B3" s="6" t="inlineStr">
        <is>
          <t>Value</t>
        </is>
      </c>
      <c r="D3" s="6" t="inlineStr">
        <is>
          <t>Placement</t>
        </is>
      </c>
      <c r="E3" s="6" t="inlineStr">
        <is>
          <t>Assets</t>
        </is>
      </c>
    </row>
    <row r="4">
      <c r="A4" s="21" t="inlineStr">
        <is>
          <t>Total Assets</t>
        </is>
      </c>
      <c r="B4">
        <f>COUNTA('Asset Matrix'!A2:A200)</f>
        <v/>
      </c>
      <c r="D4" s="21" t="inlineStr">
        <is>
          <t>LED01_CURVO</t>
        </is>
      </c>
      <c r="E4" t="n">
        <v>15</v>
      </c>
    </row>
    <row r="5">
      <c r="A5" s="21" t="inlineStr">
        <is>
          <t>Blocked</t>
        </is>
      </c>
      <c r="B5">
        <f>COUNTIF('Asset Matrix'!S2:S200,"BLOCKED")</f>
        <v/>
      </c>
      <c r="D5" s="21" t="inlineStr">
        <is>
          <t>LED02_BALCAO_RECEITAS</t>
        </is>
      </c>
      <c r="E5" t="n">
        <v>9</v>
      </c>
    </row>
    <row r="6">
      <c r="A6" s="21" t="inlineStr">
        <is>
          <t>Missing Owner</t>
        </is>
      </c>
      <c r="B6">
        <f>COUNTBLANK('Asset Matrix'!F2:F56)</f>
        <v/>
      </c>
      <c r="D6" s="21" t="inlineStr">
        <is>
          <t>LED03_CORREDOR_GLP1</t>
        </is>
      </c>
      <c r="E6" t="n">
        <v>6</v>
      </c>
    </row>
    <row r="7">
      <c r="A7" s="21" t="inlineStr">
        <is>
          <t>Missing Brief</t>
        </is>
      </c>
      <c r="B7">
        <f>COUNTBLANK('Asset Matrix'!I2:I56)</f>
        <v/>
      </c>
      <c r="D7" s="21" t="inlineStr">
        <is>
          <t>LED04_PAINEL_INTERATIVO</t>
        </is>
      </c>
      <c r="E7" t="n">
        <v>10</v>
      </c>
    </row>
    <row r="8">
      <c r="A8" s="21" t="inlineStr">
        <is>
          <t>Waiting Input</t>
        </is>
      </c>
      <c r="B8">
        <f>COUNTIF('Asset Matrix'!R2:R200,"WAITING_INPUT")</f>
        <v/>
      </c>
      <c r="D8" s="21" t="inlineStr">
        <is>
          <t>LEDS_GONDOLAS</t>
        </is>
      </c>
      <c r="E8" t="n">
        <v>13</v>
      </c>
    </row>
    <row r="9">
      <c r="A9" s="21" t="inlineStr">
        <is>
          <t>Approved</t>
        </is>
      </c>
      <c r="B9">
        <f>COUNTIF('Asset Matrix'!T2:T200,"APPROVED")</f>
        <v/>
      </c>
      <c r="D9" s="21" t="inlineStr">
        <is>
          <t>LED_NINHO</t>
        </is>
      </c>
      <c r="E9" t="n">
        <v>1</v>
      </c>
    </row>
    <row r="10">
      <c r="A10" s="21" t="inlineStr">
        <is>
          <t>Tech Passed</t>
        </is>
      </c>
      <c r="B10">
        <f>COUNTIF('Asset Matrix'!V2:V200,"PASSED")</f>
        <v/>
      </c>
      <c r="D10" s="21" t="inlineStr">
        <is>
          <t>TV_SALA_VIP</t>
        </is>
      </c>
      <c r="E10" t="n">
        <v>1</v>
      </c>
    </row>
    <row r="11">
      <c r="A11" s="21" t="inlineStr">
        <is>
          <t>Delivered</t>
        </is>
      </c>
      <c r="B11">
        <f>COUNTIF('Asset Matrix'!S2:S200,"DELIVERED")</f>
        <v/>
      </c>
      <c r="D11" s="21" t="inlineStr">
        <is>
          <t>TOTAL</t>
        </is>
      </c>
      <c r="E11" t="n">
        <v>55</v>
      </c>
    </row>
    <row r="14">
      <c r="A14" s="31" t="inlineStr">
        <is>
          <t>GATES CRÍTICOS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6" t="inlineStr">
        <is>
          <t>Gate</t>
        </is>
      </c>
      <c r="B15" s="6" t="inlineStr">
        <is>
          <t>Owner</t>
        </is>
      </c>
      <c r="C15" s="6" t="inlineStr">
        <is>
          <t>Deadline</t>
        </is>
      </c>
      <c r="D15" s="6" t="inlineStr">
        <is>
          <t>Status</t>
        </is>
      </c>
      <c r="E15" s="6" t="inlineStr">
        <is>
          <t>Evidence</t>
        </is>
      </c>
      <c r="F15" s="6" t="inlineStr">
        <is>
          <t>Impact if open</t>
        </is>
      </c>
      <c r="G15" s="6" t="str"/>
      <c r="H15" s="6" t="str"/>
    </row>
    <row r="16">
      <c r="A16" s="12" t="inlineStr">
        <is>
          <t>Scope lock</t>
        </is>
      </c>
      <c r="B16" s="12" t="inlineStr">
        <is>
          <t>PENDENTE</t>
        </is>
      </c>
      <c r="C16" s="12" t="inlineStr">
        <is>
          <t>2026-08-05</t>
        </is>
      </c>
      <c r="D16" s="12" t="inlineStr">
        <is>
          <t>OPEN</t>
        </is>
      </c>
      <c r="E16" s="12" t="str"/>
      <c r="F16" s="12" t="inlineStr">
        <is>
          <t>Escopo e margem</t>
        </is>
      </c>
      <c r="G16" s="12" t="str"/>
      <c r="H16" s="12" t="str"/>
    </row>
    <row r="17">
      <c r="A17" s="12" t="inlineStr">
        <is>
          <t>All inputs received</t>
        </is>
      </c>
      <c r="B17" s="12" t="inlineStr">
        <is>
          <t>PENDENTE</t>
        </is>
      </c>
      <c r="C17" s="12" t="inlineStr">
        <is>
          <t>2026-08-06</t>
        </is>
      </c>
      <c r="D17" s="12" t="inlineStr">
        <is>
          <t>OPEN</t>
        </is>
      </c>
      <c r="E17" s="12" t="str"/>
      <c r="F17" s="12" t="inlineStr">
        <is>
          <t>Produção</t>
        </is>
      </c>
      <c r="G17" s="12" t="str"/>
      <c r="H17" s="12" t="str"/>
    </row>
    <row r="18">
      <c r="A18" s="12" t="inlineStr">
        <is>
          <t>Motion pilots approved</t>
        </is>
      </c>
      <c r="B18" s="12" t="inlineStr">
        <is>
          <t>PENDENTE</t>
        </is>
      </c>
      <c r="C18" s="12" t="inlineStr">
        <is>
          <t>2026-08-07</t>
        </is>
      </c>
      <c r="D18" s="12" t="inlineStr">
        <is>
          <t>OPEN</t>
        </is>
      </c>
      <c r="E18" s="12" t="str"/>
      <c r="F18" s="12" t="inlineStr">
        <is>
          <t>Consistência</t>
        </is>
      </c>
      <c r="G18" s="12" t="str"/>
      <c r="H18" s="12" t="str"/>
    </row>
    <row r="19">
      <c r="A19" s="12" t="inlineStr">
        <is>
          <t>Batch 1 delivered</t>
        </is>
      </c>
      <c r="B19" s="12" t="inlineStr">
        <is>
          <t>PENDENTE</t>
        </is>
      </c>
      <c r="C19" s="12" t="inlineStr">
        <is>
          <t>2026-08-08</t>
        </is>
      </c>
      <c r="D19" s="12" t="inlineStr">
        <is>
          <t>OPEN</t>
        </is>
      </c>
      <c r="E19" s="12" t="str"/>
      <c r="F19" s="12" t="inlineStr">
        <is>
          <t>Cronograma</t>
        </is>
      </c>
      <c r="G19" s="12" t="str"/>
      <c r="H19" s="12" t="str"/>
    </row>
    <row r="20">
      <c r="A20" s="12" t="inlineStr">
        <is>
          <t>Final creative masters</t>
        </is>
      </c>
      <c r="B20" s="12" t="inlineStr">
        <is>
          <t>PENDENTE</t>
        </is>
      </c>
      <c r="C20" s="12" t="inlineStr">
        <is>
          <t>2026-08-10</t>
        </is>
      </c>
      <c r="D20" s="12" t="inlineStr">
        <is>
          <t>OPEN</t>
        </is>
      </c>
      <c r="E20" s="12" t="str"/>
      <c r="F20" s="12" t="inlineStr">
        <is>
          <t>Homologação</t>
        </is>
      </c>
      <c r="G20" s="12" t="str"/>
      <c r="H20" s="12" t="str"/>
    </row>
    <row r="21">
      <c r="A21" s="12" t="inlineStr">
        <is>
          <t>Technical playback passed</t>
        </is>
      </c>
      <c r="B21" s="12" t="inlineStr">
        <is>
          <t>PENDENTE</t>
        </is>
      </c>
      <c r="C21" s="12" t="inlineStr">
        <is>
          <t>2026-08-11</t>
        </is>
      </c>
      <c r="D21" s="12" t="inlineStr">
        <is>
          <t>OPEN</t>
        </is>
      </c>
      <c r="E21" s="12" t="str"/>
      <c r="F21" s="12" t="inlineStr">
        <is>
          <t>Evento</t>
        </is>
      </c>
      <c r="G21" s="12" t="str"/>
      <c r="H21" s="12" t="str"/>
    </row>
  </sheetData>
  <mergeCells count="2">
    <mergeCell ref="A14:H14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28" customWidth="1" min="5" max="5"/>
    <col width="22" customWidth="1" min="6" max="6"/>
    <col width="35" customWidth="1" min="7" max="7"/>
    <col width="28" customWidth="1" min="8" max="8"/>
    <col width="45" customWidth="1" min="9" max="9"/>
    <col width="18" customWidth="1" min="10" max="10"/>
    <col width="18" customWidth="1" min="11" max="11"/>
    <col width="2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8" customWidth="1" min="18" max="18"/>
    <col width="24" customWidth="1" min="19" max="19"/>
    <col width="18" customWidth="1" min="20" max="20"/>
    <col width="16" customWidth="1" min="21" max="21"/>
    <col width="16" customWidth="1" min="22" max="22"/>
    <col width="12" customWidth="1" min="23" max="23"/>
    <col width="13" customWidth="1" min="24" max="24"/>
    <col width="28" customWidth="1" min="25" max="25"/>
    <col width="38" customWidth="1" min="26" max="26"/>
    <col width="28" customWidth="1" min="27" max="27"/>
  </cols>
  <sheetData>
    <row r="1">
      <c r="A1" s="6" t="inlineStr">
        <is>
          <t>Asset_ID</t>
        </is>
      </c>
      <c r="B1" s="6" t="inlineStr">
        <is>
          <t>Placement_Code</t>
        </is>
      </c>
      <c r="C1" s="6" t="inlineStr">
        <is>
          <t>Placement_Name</t>
        </is>
      </c>
      <c r="D1" s="6" t="inlineStr">
        <is>
          <t>Source_Asset</t>
        </is>
      </c>
      <c r="E1" s="6" t="inlineStr">
        <is>
          <t>Brand_Content</t>
        </is>
      </c>
      <c r="F1" s="6" t="inlineStr">
        <is>
          <t>Owner</t>
        </is>
      </c>
      <c r="G1" s="6" t="inlineStr">
        <is>
          <t>Comments_MKT</t>
        </is>
      </c>
      <c r="H1" s="6" t="inlineStr">
        <is>
          <t>Source_Link</t>
        </is>
      </c>
      <c r="I1" s="6" t="inlineStr">
        <is>
          <t>Brief_Directional</t>
        </is>
      </c>
      <c r="J1" s="6" t="inlineStr">
        <is>
          <t>Directional_Status</t>
        </is>
      </c>
      <c r="K1" s="6" t="inlineStr">
        <is>
          <t>Roteiro_Status</t>
        </is>
      </c>
      <c r="L1" s="6" t="inlineStr">
        <is>
          <t>Material_Link</t>
        </is>
      </c>
      <c r="M1" s="6" t="inlineStr">
        <is>
          <t>KV_Status</t>
        </is>
      </c>
      <c r="N1" s="6" t="inlineStr">
        <is>
          <t>Mockup_Status</t>
        </is>
      </c>
      <c r="O1" s="6" t="inlineStr">
        <is>
          <t>Campaign_Status</t>
        </is>
      </c>
      <c r="P1" s="6" t="inlineStr">
        <is>
          <t>Video_Status</t>
        </is>
      </c>
      <c r="Q1" s="6" t="inlineStr">
        <is>
          <t>Complexity</t>
        </is>
      </c>
      <c r="R1" s="6" t="inlineStr">
        <is>
          <t>Input_Status</t>
        </is>
      </c>
      <c r="S1" s="6" t="inlineStr">
        <is>
          <t>Production_Status</t>
        </is>
      </c>
      <c r="T1" s="6" t="inlineStr">
        <is>
          <t>Approval_Status</t>
        </is>
      </c>
      <c r="U1" s="6" t="inlineStr">
        <is>
          <t>Legal_Status</t>
        </is>
      </c>
      <c r="V1" s="6" t="inlineStr">
        <is>
          <t>Tech_Status</t>
        </is>
      </c>
      <c r="W1" s="6" t="inlineStr">
        <is>
          <t>Priority</t>
        </is>
      </c>
      <c r="X1" s="6" t="inlineStr">
        <is>
          <t>Due_Date</t>
        </is>
      </c>
      <c r="Y1" s="6" t="inlineStr">
        <is>
          <t>Delivery_Link</t>
        </is>
      </c>
      <c r="Z1" s="6" t="inlineStr">
        <is>
          <t>Blockers</t>
        </is>
      </c>
      <c r="AA1" s="6" t="inlineStr">
        <is>
          <t>Notes</t>
        </is>
      </c>
    </row>
    <row r="2">
      <c r="A2" s="12" t="inlineStr">
        <is>
          <t>FT26-LED01_CURVO-001</t>
        </is>
      </c>
      <c r="B2" s="12" t="inlineStr">
        <is>
          <t>LED01_CURVO</t>
        </is>
      </c>
      <c r="C2" s="12" t="inlineStr">
        <is>
          <t>LED 1 — Frente / Curvo</t>
        </is>
      </c>
      <c r="D2" s="12" t="n">
        <v>1</v>
      </c>
      <c r="E2" s="12" t="inlineStr">
        <is>
          <t>Família Comfor</t>
        </is>
      </c>
      <c r="F2" s="12" t="inlineStr">
        <is>
          <t>Tainá Gonçalves</t>
        </is>
      </c>
      <c r="G2" s="12" t="inlineStr">
        <is>
          <t>Confirmar frase sobre "Marca com maior venda..."</t>
        </is>
      </c>
      <c r="H2" s="12" t="str"/>
      <c r="I2" s="12" t="inlineStr">
        <is>
          <t>Animação dos Mockups com a frase "Marca Líder da Categoria"</t>
        </is>
      </c>
      <c r="J2" s="12" t="inlineStr">
        <is>
          <t>Enviado</t>
        </is>
      </c>
      <c r="K2" s="12" t="str"/>
      <c r="L2" s="12" t="inlineStr">
        <is>
          <t>https://www.dropbox.com/request/6195ssn7qky5tueb4ool</t>
        </is>
      </c>
      <c r="M2" s="12" t="inlineStr">
        <is>
          <t>N/A</t>
        </is>
      </c>
      <c r="N2" s="12" t="inlineStr">
        <is>
          <t>N/A</t>
        </is>
      </c>
      <c r="O2" s="12" t="inlineStr">
        <is>
          <t>N/A</t>
        </is>
      </c>
      <c r="P2" s="12" t="inlineStr">
        <is>
          <t>N/A</t>
        </is>
      </c>
      <c r="Q2" s="12" t="inlineStr">
        <is>
          <t>B_MOTION_KV</t>
        </is>
      </c>
      <c r="R2" s="12" t="inlineStr">
        <is>
          <t>INPUT_RECEIVED</t>
        </is>
      </c>
      <c r="S2" s="12" t="inlineStr">
        <is>
          <t>BLOCKED</t>
        </is>
      </c>
      <c r="T2" s="12" t="inlineStr">
        <is>
          <t>NOT_SUBMITTED</t>
        </is>
      </c>
      <c r="U2" s="12" t="inlineStr">
        <is>
          <t>PENDING</t>
        </is>
      </c>
      <c r="V2" s="12" t="inlineStr">
        <is>
          <t>PENDING</t>
        </is>
      </c>
      <c r="W2" s="12" t="inlineStr">
        <is>
          <t>HIGH</t>
        </is>
      </c>
      <c r="X2" s="32" t="n">
        <v>46244</v>
      </c>
      <c r="Y2" s="12" t="str"/>
      <c r="Z2" s="12" t="inlineStr">
        <is>
          <t>Copy/claim pendente de confirmação</t>
        </is>
      </c>
      <c r="AA2" s="12" t="str"/>
    </row>
    <row r="3">
      <c r="A3" s="12" t="inlineStr">
        <is>
          <t>FT26-LED01_CURVO-002</t>
        </is>
      </c>
      <c r="B3" s="12" t="inlineStr">
        <is>
          <t>LED01_CURVO</t>
        </is>
      </c>
      <c r="C3" s="12" t="inlineStr">
        <is>
          <t>LED 1 — Frente / Curvo</t>
        </is>
      </c>
      <c r="D3" s="12" t="n">
        <v>2</v>
      </c>
      <c r="E3" s="12" t="inlineStr">
        <is>
          <t>Família Supreme</t>
        </is>
      </c>
      <c r="F3" s="12" t="inlineStr">
        <is>
          <t>Tainá Gonçalves</t>
        </is>
      </c>
      <c r="G3" s="12" t="str"/>
      <c r="H3" s="12" t="str"/>
      <c r="I3" s="12" t="inlineStr">
        <is>
          <t>Animação dos Mockups com a frase "Marca mais Inovadora da Categoria"</t>
        </is>
      </c>
      <c r="J3" s="12" t="inlineStr">
        <is>
          <t>Enviado</t>
        </is>
      </c>
      <c r="K3" s="12" t="str"/>
      <c r="L3" s="12" t="inlineStr">
        <is>
          <t>https://www.dropbox.com/request/4cud7qenqzk7mi9b2hc1</t>
        </is>
      </c>
      <c r="M3" s="12" t="str"/>
      <c r="N3" s="12" t="str"/>
      <c r="O3" s="12" t="str"/>
      <c r="P3" s="12" t="str"/>
      <c r="Q3" s="12" t="inlineStr">
        <is>
          <t>B_MOTION_KV</t>
        </is>
      </c>
      <c r="R3" s="12" t="inlineStr">
        <is>
          <t>INPUT_RECEIVED</t>
        </is>
      </c>
      <c r="S3" s="12" t="inlineStr">
        <is>
          <t>READY_FOR_PREPROD</t>
        </is>
      </c>
      <c r="T3" s="12" t="inlineStr">
        <is>
          <t>NOT_SUBMITTED</t>
        </is>
      </c>
      <c r="U3" s="12" t="inlineStr">
        <is>
          <t>PENDING</t>
        </is>
      </c>
      <c r="V3" s="12" t="inlineStr">
        <is>
          <t>PENDING</t>
        </is>
      </c>
      <c r="W3" s="12" t="inlineStr">
        <is>
          <t>HIGH</t>
        </is>
      </c>
      <c r="X3" s="32" t="n">
        <v>46244</v>
      </c>
      <c r="Y3" s="12" t="str"/>
      <c r="Z3" s="12" t="str"/>
      <c r="AA3" s="12" t="str"/>
    </row>
    <row r="4">
      <c r="A4" s="12" t="inlineStr">
        <is>
          <t>FT26-LED01_CURVO-003</t>
        </is>
      </c>
      <c r="B4" s="12" t="inlineStr">
        <is>
          <t>LED01_CURVO</t>
        </is>
      </c>
      <c r="C4" s="12" t="inlineStr">
        <is>
          <t>LED 1 — Frente / Curvo</t>
        </is>
      </c>
      <c r="D4" s="12" t="n">
        <v>3</v>
      </c>
      <c r="E4" s="12" t="inlineStr">
        <is>
          <t>Família Nestonutri</t>
        </is>
      </c>
      <c r="F4" s="12" t="inlineStr">
        <is>
          <t>Tathiana Azambuja</t>
        </is>
      </c>
      <c r="G4" s="12" t="inlineStr">
        <is>
          <t>mockups ok dentro do DropBox (13h27)</t>
        </is>
      </c>
      <c r="H4" s="12" t="str"/>
      <c r="I4" s="12" t="str"/>
      <c r="J4" s="12" t="inlineStr">
        <is>
          <t>Enviado</t>
        </is>
      </c>
      <c r="K4" s="12" t="str"/>
      <c r="L4" s="12" t="inlineStr">
        <is>
          <t>https://www.dropbox.com/request/z1ozf4iyz3e9xff34b3e</t>
        </is>
      </c>
      <c r="M4" s="12" t="str"/>
      <c r="N4" s="12" t="inlineStr">
        <is>
          <t>Enviado</t>
        </is>
      </c>
      <c r="O4" s="12" t="inlineStr">
        <is>
          <t>N/A</t>
        </is>
      </c>
      <c r="P4" s="12" t="inlineStr">
        <is>
          <t>N/A</t>
        </is>
      </c>
      <c r="Q4" s="12" t="inlineStr">
        <is>
          <t>B_MOTION_KV</t>
        </is>
      </c>
      <c r="R4" s="12" t="inlineStr">
        <is>
          <t>INPUT_RECEIVED</t>
        </is>
      </c>
      <c r="S4" s="12" t="inlineStr">
        <is>
          <t>BLOCKED</t>
        </is>
      </c>
      <c r="T4" s="12" t="inlineStr">
        <is>
          <t>NOT_SUBMITTED</t>
        </is>
      </c>
      <c r="U4" s="12" t="inlineStr">
        <is>
          <t>PENDING</t>
        </is>
      </c>
      <c r="V4" s="12" t="inlineStr">
        <is>
          <t>PENDING</t>
        </is>
      </c>
      <c r="W4" s="12" t="inlineStr">
        <is>
          <t>HIGH</t>
        </is>
      </c>
      <c r="X4" s="32" t="n">
        <v>46244</v>
      </c>
      <c r="Y4" s="12" t="str"/>
      <c r="Z4" s="12" t="inlineStr">
        <is>
          <t>Direcional/briefing ausente</t>
        </is>
      </c>
      <c r="AA4" s="12" t="str"/>
    </row>
    <row r="5">
      <c r="A5" s="12" t="inlineStr">
        <is>
          <t>FT26-LED01_CURVO-004</t>
        </is>
      </c>
      <c r="B5" s="12" t="inlineStr">
        <is>
          <t>LED01_CURVO</t>
        </is>
      </c>
      <c r="C5" s="12" t="inlineStr">
        <is>
          <t>LED 1 — Frente / Curvo</t>
        </is>
      </c>
      <c r="D5" s="12" t="n">
        <v>4</v>
      </c>
      <c r="E5" s="12" t="inlineStr">
        <is>
          <t>Fórmulas Especiais</t>
        </is>
      </c>
      <c r="F5" s="12" t="inlineStr">
        <is>
          <t>Tainá Gonçalves</t>
        </is>
      </c>
      <c r="G5" s="12" t="str"/>
      <c r="H5" s="12" t="str"/>
      <c r="I5" s="12" t="inlineStr">
        <is>
          <t>Animação dos Mockups com a frase "Garanta o Portfólio Completo de Fórmulas Nestlé Destinadas a Necessidades Específicas"</t>
        </is>
      </c>
      <c r="J5" s="12" t="inlineStr">
        <is>
          <t>Enviado</t>
        </is>
      </c>
      <c r="K5" s="12" t="str"/>
      <c r="L5" s="12" t="inlineStr">
        <is>
          <t>https://www.dropbox.com/request/jwzirba7x7e42h1cz404</t>
        </is>
      </c>
      <c r="M5" s="12" t="str"/>
      <c r="N5" s="12" t="str"/>
      <c r="O5" s="12" t="str"/>
      <c r="P5" s="12" t="str"/>
      <c r="Q5" s="12" t="inlineStr">
        <is>
          <t>B_MOTION_KV</t>
        </is>
      </c>
      <c r="R5" s="12" t="inlineStr">
        <is>
          <t>INPUT_RECEIVED</t>
        </is>
      </c>
      <c r="S5" s="12" t="inlineStr">
        <is>
          <t>READY_FOR_PREPROD</t>
        </is>
      </c>
      <c r="T5" s="12" t="inlineStr">
        <is>
          <t>NOT_SUBMITTED</t>
        </is>
      </c>
      <c r="U5" s="12" t="inlineStr">
        <is>
          <t>PENDING</t>
        </is>
      </c>
      <c r="V5" s="12" t="inlineStr">
        <is>
          <t>PENDING</t>
        </is>
      </c>
      <c r="W5" s="12" t="inlineStr">
        <is>
          <t>HIGH</t>
        </is>
      </c>
      <c r="X5" s="32" t="n">
        <v>46244</v>
      </c>
      <c r="Y5" s="12" t="str"/>
      <c r="Z5" s="12" t="str"/>
      <c r="AA5" s="12" t="str"/>
    </row>
    <row r="6">
      <c r="A6" s="12" t="inlineStr">
        <is>
          <t>FT26-LED01_CURVO-005</t>
        </is>
      </c>
      <c r="B6" s="12" t="inlineStr">
        <is>
          <t>LED01_CURVO</t>
        </is>
      </c>
      <c r="C6" s="12" t="inlineStr">
        <is>
          <t>LED 1 — Frente / Curvo</t>
        </is>
      </c>
      <c r="D6" s="12" t="n">
        <v>5</v>
      </c>
      <c r="E6" s="12" t="inlineStr">
        <is>
          <t>Ninho Fases</t>
        </is>
      </c>
      <c r="F6" s="12" t="inlineStr">
        <is>
          <t>Bruna e Camilly</t>
        </is>
      </c>
      <c r="G6" s="12" t="inlineStr">
        <is>
          <t>Vídeos dentro do Dropbox</t>
        </is>
      </c>
      <c r="H6" s="12" t="str"/>
      <c r="I6" s="12" t="inlineStr">
        <is>
          <t>Prêmio da ABRAFARMA 2025 - Frase "Marca mais vendida" Para Ninho Fases, utilizar os KV’s enviados fazer uma tela harmônica utilizando o KV da Marca, pois já teremos um LED destinado para Ninho atrás e o conteúdo deve ser diferente.​
Utilizar a frase: Ninho Fases 1+ Item mais vendido de Não Medicamentos no Canal Farma, estourando jundo com SKU do Produto.​
Trabalhar apenas o KV de 800g estourado na tela.​</t>
        </is>
      </c>
      <c r="J6" s="12" t="inlineStr">
        <is>
          <t>Enviado</t>
        </is>
      </c>
      <c r="K6" s="12" t="str"/>
      <c r="L6" s="12" t="inlineStr">
        <is>
          <t>https://www.dropbox.com/request/eoxvowren8h0rufu4m9t</t>
        </is>
      </c>
      <c r="M6" s="12" t="str"/>
      <c r="N6" s="12" t="str"/>
      <c r="O6" s="12" t="str"/>
      <c r="P6" s="12" t="inlineStr">
        <is>
          <t>Enviado</t>
        </is>
      </c>
      <c r="Q6" s="12" t="inlineStr">
        <is>
          <t>B_MOTION_KV</t>
        </is>
      </c>
      <c r="R6" s="12" t="inlineStr">
        <is>
          <t>INPUT_RECEIVED</t>
        </is>
      </c>
      <c r="S6" s="12" t="inlineStr">
        <is>
          <t>READY_FOR_PREPROD</t>
        </is>
      </c>
      <c r="T6" s="12" t="inlineStr">
        <is>
          <t>NOT_SUBMITTED</t>
        </is>
      </c>
      <c r="U6" s="12" t="inlineStr">
        <is>
          <t>PENDING</t>
        </is>
      </c>
      <c r="V6" s="12" t="inlineStr">
        <is>
          <t>PENDING</t>
        </is>
      </c>
      <c r="W6" s="12" t="inlineStr">
        <is>
          <t>HIGH</t>
        </is>
      </c>
      <c r="X6" s="32" t="n">
        <v>46244</v>
      </c>
      <c r="Y6" s="12" t="str"/>
      <c r="Z6" s="12" t="str"/>
      <c r="AA6" s="12" t="str"/>
    </row>
    <row r="7">
      <c r="A7" s="12" t="inlineStr">
        <is>
          <t>FT26-LED01_CURVO-006</t>
        </is>
      </c>
      <c r="B7" s="12" t="inlineStr">
        <is>
          <t>LED01_CURVO</t>
        </is>
      </c>
      <c r="C7" s="12" t="inlineStr">
        <is>
          <t>LED 1 — Frente / Curvo</t>
        </is>
      </c>
      <c r="D7" s="12" t="n">
        <v>6</v>
      </c>
      <c r="E7" s="12" t="inlineStr">
        <is>
          <t>Materna</t>
        </is>
      </c>
      <c r="F7" s="12" t="inlineStr">
        <is>
          <t>Luiza</t>
        </is>
      </c>
      <c r="G7" s="12" t="str"/>
      <c r="H7" s="12" t="str"/>
      <c r="I7" s="12" t="inlineStr">
        <is>
          <t>Adaptar o vídeo institucional para utilização no canal Farma, atualizando identidade visual, packshots e mensagem final da campanha.​</t>
        </is>
      </c>
      <c r="J7" s="12" t="inlineStr">
        <is>
          <t>Enviado</t>
        </is>
      </c>
      <c r="K7" s="12" t="str"/>
      <c r="L7" s="12" t="inlineStr">
        <is>
          <t>https://www.dropbox.com/request/htz03l4cbjfrs8n87q15</t>
        </is>
      </c>
      <c r="M7" s="12" t="str"/>
      <c r="N7" s="12" t="str"/>
      <c r="O7" s="12" t="str"/>
      <c r="P7" s="12" t="str"/>
      <c r="Q7" s="12" t="inlineStr">
        <is>
          <t>A_ADAPTATION</t>
        </is>
      </c>
      <c r="R7" s="12" t="inlineStr">
        <is>
          <t>INPUT_RECEIVED</t>
        </is>
      </c>
      <c r="S7" s="12" t="inlineStr">
        <is>
          <t>READY_FOR_PREPROD</t>
        </is>
      </c>
      <c r="T7" s="12" t="inlineStr">
        <is>
          <t>NOT_SUBMITTED</t>
        </is>
      </c>
      <c r="U7" s="12" t="inlineStr">
        <is>
          <t>PENDING</t>
        </is>
      </c>
      <c r="V7" s="12" t="inlineStr">
        <is>
          <t>PENDING</t>
        </is>
      </c>
      <c r="W7" s="12" t="inlineStr">
        <is>
          <t>HIGH</t>
        </is>
      </c>
      <c r="X7" s="32" t="n">
        <v>46244</v>
      </c>
      <c r="Y7" s="12" t="str"/>
      <c r="Z7" s="12" t="str"/>
      <c r="AA7" s="12" t="str"/>
    </row>
    <row r="8">
      <c r="A8" s="12" t="inlineStr">
        <is>
          <t>FT26-LED01_CURVO-007</t>
        </is>
      </c>
      <c r="B8" s="12" t="inlineStr">
        <is>
          <t>LED01_CURVO</t>
        </is>
      </c>
      <c r="C8" s="12" t="inlineStr">
        <is>
          <t>LED 1 — Frente / Curvo</t>
        </is>
      </c>
      <c r="D8" s="12" t="n">
        <v>7</v>
      </c>
      <c r="E8" s="12" t="inlineStr">
        <is>
          <t>Ascenda</t>
        </is>
      </c>
      <c r="F8" s="12" t="inlineStr">
        <is>
          <t>Lis Vetorello</t>
        </is>
      </c>
      <c r="G8" s="12" t="inlineStr">
        <is>
          <t>Confirmar frase</t>
        </is>
      </c>
      <c r="H8" s="12" t="str"/>
      <c r="I8" s="12" t="str"/>
      <c r="J8" s="12" t="inlineStr">
        <is>
          <t>Não enviado</t>
        </is>
      </c>
      <c r="K8" s="12" t="str"/>
      <c r="L8" s="12" t="inlineStr">
        <is>
          <t>https://www.dropbox.com/request/nuzzu0wf66crcycmg2qq</t>
        </is>
      </c>
      <c r="M8" s="12" t="inlineStr">
        <is>
          <t>Enviado</t>
        </is>
      </c>
      <c r="N8" s="12" t="str"/>
      <c r="O8" s="12" t="inlineStr">
        <is>
          <t>N/A</t>
        </is>
      </c>
      <c r="P8" s="12" t="inlineStr">
        <is>
          <t>N/A</t>
        </is>
      </c>
      <c r="Q8" s="12" t="inlineStr">
        <is>
          <t>B_MOTION_KV</t>
        </is>
      </c>
      <c r="R8" s="12" t="inlineStr">
        <is>
          <t>WAITING_INPUT</t>
        </is>
      </c>
      <c r="S8" s="12" t="inlineStr">
        <is>
          <t>BLOCKED</t>
        </is>
      </c>
      <c r="T8" s="12" t="inlineStr">
        <is>
          <t>NOT_SUBMITTED</t>
        </is>
      </c>
      <c r="U8" s="12" t="inlineStr">
        <is>
          <t>PENDING</t>
        </is>
      </c>
      <c r="V8" s="12" t="inlineStr">
        <is>
          <t>PENDING</t>
        </is>
      </c>
      <c r="W8" s="12" t="inlineStr">
        <is>
          <t>HIGH</t>
        </is>
      </c>
      <c r="X8" s="32" t="n">
        <v>46244</v>
      </c>
      <c r="Y8" s="12" t="str"/>
      <c r="Z8" s="12" t="inlineStr">
        <is>
          <t>Direcional/briefing ausente; Copy/claim pendente de confirmação</t>
        </is>
      </c>
      <c r="AA8" s="12" t="str"/>
    </row>
    <row r="9">
      <c r="A9" s="12" t="inlineStr">
        <is>
          <t>FT26-LED01_CURVO-008</t>
        </is>
      </c>
      <c r="B9" s="12" t="inlineStr">
        <is>
          <t>LED01_CURVO</t>
        </is>
      </c>
      <c r="C9" s="12" t="inlineStr">
        <is>
          <t>LED 1 — Frente / Curvo</t>
        </is>
      </c>
      <c r="D9" s="12" t="n">
        <v>8</v>
      </c>
      <c r="E9" s="12" t="inlineStr">
        <is>
          <t>Nestlé Vital</t>
        </is>
      </c>
      <c r="F9" s="12" t="inlineStr">
        <is>
          <t>Lis Vetorello</t>
        </is>
      </c>
      <c r="G9" s="12" t="inlineStr">
        <is>
          <t>KV e Assets dentro do DropBox (13h37)</t>
        </is>
      </c>
      <c r="H9" s="12" t="str"/>
      <c r="I9" s="12" t="inlineStr">
        <is>
          <t>"Chegou Nestlé Vital, a nova linha de suplementos adultos da Nestlé" - "A oportunidade de penetração da categoria adulta com rituais completos para cada momento do dia" - KV animado</t>
        </is>
      </c>
      <c r="J9" s="12" t="inlineStr">
        <is>
          <t>Enviado</t>
        </is>
      </c>
      <c r="K9" s="12" t="str"/>
      <c r="L9" s="12" t="inlineStr">
        <is>
          <t>https://www.dropbox.com/request/u9j1cvr2lj3t6e2vk29u</t>
        </is>
      </c>
      <c r="M9" s="12" t="inlineStr">
        <is>
          <t>Enviado</t>
        </is>
      </c>
      <c r="N9" s="12" t="inlineStr">
        <is>
          <t>Enviado</t>
        </is>
      </c>
      <c r="O9" s="12" t="inlineStr">
        <is>
          <t>Enviado</t>
        </is>
      </c>
      <c r="P9" s="12" t="inlineStr">
        <is>
          <t>N/A</t>
        </is>
      </c>
      <c r="Q9" s="12" t="inlineStr">
        <is>
          <t>B_MOTION_KV</t>
        </is>
      </c>
      <c r="R9" s="12" t="inlineStr">
        <is>
          <t>INPUT_RECEIVED</t>
        </is>
      </c>
      <c r="S9" s="12" t="inlineStr">
        <is>
          <t>READY_FOR_PREPROD</t>
        </is>
      </c>
      <c r="T9" s="12" t="inlineStr">
        <is>
          <t>NOT_SUBMITTED</t>
        </is>
      </c>
      <c r="U9" s="12" t="inlineStr">
        <is>
          <t>PENDING</t>
        </is>
      </c>
      <c r="V9" s="12" t="inlineStr">
        <is>
          <t>PENDING</t>
        </is>
      </c>
      <c r="W9" s="12" t="inlineStr">
        <is>
          <t>HIGH</t>
        </is>
      </c>
      <c r="X9" s="32" t="n">
        <v>46244</v>
      </c>
      <c r="Y9" s="12" t="str"/>
      <c r="Z9" s="12" t="str"/>
      <c r="AA9" s="12" t="str"/>
    </row>
    <row r="10">
      <c r="A10" s="12" t="inlineStr">
        <is>
          <t>FT26-LED01_CURVO-009</t>
        </is>
      </c>
      <c r="B10" s="12" t="inlineStr">
        <is>
          <t>LED01_CURVO</t>
        </is>
      </c>
      <c r="C10" s="12" t="inlineStr">
        <is>
          <t>LED 1 — Frente / Curvo</t>
        </is>
      </c>
      <c r="D10" s="12" t="n">
        <v>9</v>
      </c>
      <c r="E10" s="12" t="inlineStr">
        <is>
          <t>Nutren Proteín RTD</t>
        </is>
      </c>
      <c r="F10" s="12" t="inlineStr">
        <is>
          <t>Thalita Araújo</t>
        </is>
      </c>
      <c r="G10" s="12" t="inlineStr">
        <is>
          <t>KV e Assets dentro do DropBox (13h27)</t>
        </is>
      </c>
      <c r="H10" s="12" t="str"/>
      <c r="I10" s="12" t="inlineStr">
        <is>
          <t>Separar o KV entre SKUs colágeno e SKUs tradicionais, adicionar Claims da imagem de referência, retirar frases do topo do KV e deixar apenas Nutren Proteín. Adicionar "Nem toda bebia proteíca é igual"</t>
        </is>
      </c>
      <c r="J10" s="12" t="inlineStr">
        <is>
          <t>Enviado</t>
        </is>
      </c>
      <c r="K10" s="12" t="str"/>
      <c r="L10" s="12" t="inlineStr">
        <is>
          <t>https://www.dropbox.com/request/l7fj5bgwwqbskmi1o99i</t>
        </is>
      </c>
      <c r="M10" s="12" t="inlineStr">
        <is>
          <t>Enviado</t>
        </is>
      </c>
      <c r="N10" s="12" t="str"/>
      <c r="O10" s="12" t="inlineStr">
        <is>
          <t>N/A</t>
        </is>
      </c>
      <c r="P10" s="12" t="inlineStr">
        <is>
          <t>N/A</t>
        </is>
      </c>
      <c r="Q10" s="12" t="inlineStr">
        <is>
          <t>B_MOTION_KV</t>
        </is>
      </c>
      <c r="R10" s="12" t="inlineStr">
        <is>
          <t>INPUT_RECEIVED</t>
        </is>
      </c>
      <c r="S10" s="12" t="inlineStr">
        <is>
          <t>READY_FOR_PREPROD</t>
        </is>
      </c>
      <c r="T10" s="12" t="inlineStr">
        <is>
          <t>NOT_SUBMITTED</t>
        </is>
      </c>
      <c r="U10" s="12" t="inlineStr">
        <is>
          <t>PENDING</t>
        </is>
      </c>
      <c r="V10" s="12" t="inlineStr">
        <is>
          <t>PENDING</t>
        </is>
      </c>
      <c r="W10" s="12" t="inlineStr">
        <is>
          <t>HIGH</t>
        </is>
      </c>
      <c r="X10" s="32" t="n">
        <v>46244</v>
      </c>
      <c r="Y10" s="12" t="str"/>
      <c r="Z10" s="12" t="str"/>
      <c r="AA10" s="12" t="str"/>
    </row>
    <row r="11">
      <c r="A11" s="12" t="inlineStr">
        <is>
          <t>FT26-LED01_CURVO-010</t>
        </is>
      </c>
      <c r="B11" s="12" t="inlineStr">
        <is>
          <t>LED01_CURVO</t>
        </is>
      </c>
      <c r="C11" s="12" t="inlineStr">
        <is>
          <t>LED 1 — Frente / Curvo</t>
        </is>
      </c>
      <c r="D11" s="12" t="n">
        <v>10</v>
      </c>
      <c r="E11" s="12" t="inlineStr">
        <is>
          <t>Nutren Proteín Creatina</t>
        </is>
      </c>
      <c r="F11" s="12" t="inlineStr">
        <is>
          <t>Thalita Araújo</t>
        </is>
      </c>
      <c r="G11" s="12" t="inlineStr">
        <is>
          <t>KV dentro do DropBox (13h27)</t>
        </is>
      </c>
      <c r="H11" s="12" t="str"/>
      <c r="I11" s="12" t="inlineStr">
        <is>
          <t>Em ajuste</t>
        </is>
      </c>
      <c r="J11" s="12" t="inlineStr">
        <is>
          <t>Não enviado</t>
        </is>
      </c>
      <c r="K11" s="12" t="str"/>
      <c r="L11" s="12" t="inlineStr">
        <is>
          <t>https://www.dropbox.com/request/1f9idg4e6u5bs41a6ld7</t>
        </is>
      </c>
      <c r="M11" s="12" t="inlineStr">
        <is>
          <t>Enviado</t>
        </is>
      </c>
      <c r="N11" s="12" t="str"/>
      <c r="O11" s="12" t="str"/>
      <c r="P11" s="12" t="str"/>
      <c r="Q11" s="12" t="inlineStr">
        <is>
          <t>B_MOTION_KV</t>
        </is>
      </c>
      <c r="R11" s="12" t="inlineStr">
        <is>
          <t>WAITING_INPUT</t>
        </is>
      </c>
      <c r="S11" s="12" t="inlineStr">
        <is>
          <t>READY_FOR_PREPROD</t>
        </is>
      </c>
      <c r="T11" s="12" t="inlineStr">
        <is>
          <t>NOT_SUBMITTED</t>
        </is>
      </c>
      <c r="U11" s="12" t="inlineStr">
        <is>
          <t>PENDING</t>
        </is>
      </c>
      <c r="V11" s="12" t="inlineStr">
        <is>
          <t>PENDING</t>
        </is>
      </c>
      <c r="W11" s="12" t="inlineStr">
        <is>
          <t>HIGH</t>
        </is>
      </c>
      <c r="X11" s="32" t="n">
        <v>46244</v>
      </c>
      <c r="Y11" s="12" t="str"/>
      <c r="Z11" s="12" t="str"/>
      <c r="AA11" s="12" t="str"/>
    </row>
    <row r="12">
      <c r="A12" s="12" t="inlineStr">
        <is>
          <t>FT26-LED01_CURVO-011</t>
        </is>
      </c>
      <c r="B12" s="12" t="inlineStr">
        <is>
          <t>LED01_CURVO</t>
        </is>
      </c>
      <c r="C12" s="12" t="inlineStr">
        <is>
          <t>LED 1 — Frente / Curvo</t>
        </is>
      </c>
      <c r="D12" s="12" t="n">
        <v>11</v>
      </c>
      <c r="E12" s="12" t="inlineStr">
        <is>
          <t>Nutren Sênior</t>
        </is>
      </c>
      <c r="F12" s="12" t="inlineStr">
        <is>
          <t>Carolina Gutierrez</t>
        </is>
      </c>
      <c r="G12" s="12" t="str"/>
      <c r="H12" s="12" t="inlineStr">
        <is>
          <t>https://wpp.ent.box.com/s/b4u7joi3evur2o32u97yyb7ecpxzqhzm</t>
        </is>
      </c>
      <c r="I12" s="12" t="inlineStr">
        <is>
          <t>Utilizar o vídeo de referência e garantir que as mensagens principais surjam em lettering / legenda</t>
        </is>
      </c>
      <c r="J12" s="12" t="inlineStr">
        <is>
          <t>Enviado</t>
        </is>
      </c>
      <c r="K12" s="12" t="str"/>
      <c r="L12" s="12" t="inlineStr">
        <is>
          <t>https://www.dropbox.com/request/w6i0cr5u5b6ds37kc744</t>
        </is>
      </c>
      <c r="M12" s="12" t="str"/>
      <c r="N12" s="12" t="str"/>
      <c r="O12" s="12" t="inlineStr">
        <is>
          <t>Enviado</t>
        </is>
      </c>
      <c r="P12" s="12" t="str"/>
      <c r="Q12" s="12" t="inlineStr">
        <is>
          <t>A_ADAPTATION</t>
        </is>
      </c>
      <c r="R12" s="12" t="inlineStr">
        <is>
          <t>INPUT_RECEIVED</t>
        </is>
      </c>
      <c r="S12" s="12" t="inlineStr">
        <is>
          <t>READY_FOR_PREPROD</t>
        </is>
      </c>
      <c r="T12" s="12" t="inlineStr">
        <is>
          <t>NOT_SUBMITTED</t>
        </is>
      </c>
      <c r="U12" s="12" t="inlineStr">
        <is>
          <t>PENDING</t>
        </is>
      </c>
      <c r="V12" s="12" t="inlineStr">
        <is>
          <t>PENDING</t>
        </is>
      </c>
      <c r="W12" s="12" t="inlineStr">
        <is>
          <t>HIGH</t>
        </is>
      </c>
      <c r="X12" s="32" t="n">
        <v>46244</v>
      </c>
      <c r="Y12" s="12" t="str"/>
      <c r="Z12" s="12" t="str"/>
      <c r="AA12" s="12" t="str"/>
    </row>
    <row r="13">
      <c r="A13" s="12" t="inlineStr">
        <is>
          <t>FT26-LED01_CURVO-012</t>
        </is>
      </c>
      <c r="B13" s="12" t="inlineStr">
        <is>
          <t>LED01_CURVO</t>
        </is>
      </c>
      <c r="C13" s="12" t="inlineStr">
        <is>
          <t>LED 1 — Frente / Curvo</t>
        </is>
      </c>
      <c r="D13" s="12" t="n">
        <v>12</v>
      </c>
      <c r="E13" s="12" t="inlineStr">
        <is>
          <t>Puravida Whey Concentrado</t>
        </is>
      </c>
      <c r="F13" s="12" t="inlineStr">
        <is>
          <t>Dani Marra</t>
        </is>
      </c>
      <c r="G13" s="12" t="str"/>
      <c r="H13" s="12" t="str"/>
      <c r="I13" s="12" t="inlineStr">
        <is>
          <t>"Chegou a nova linha de Whey Protein Concentrado Puravida em 5 sabores irresistíveis" - explorar imagem de cada sabor - Incluir a Tag "Lançamento"</t>
        </is>
      </c>
      <c r="J13" s="12" t="inlineStr">
        <is>
          <t>Enviado</t>
        </is>
      </c>
      <c r="K13" s="12" t="str"/>
      <c r="L13" s="12" t="inlineStr">
        <is>
          <t>https://www.dropbox.com/request/fhehw1wat1z1xzhwydxp</t>
        </is>
      </c>
      <c r="M13" s="12" t="str"/>
      <c r="N13" s="12" t="str"/>
      <c r="O13" s="12" t="str"/>
      <c r="P13" s="12" t="str"/>
      <c r="Q13" s="12" t="inlineStr">
        <is>
          <t>B_MOTION_KV</t>
        </is>
      </c>
      <c r="R13" s="12" t="inlineStr">
        <is>
          <t>INPUT_RECEIVED</t>
        </is>
      </c>
      <c r="S13" s="12" t="inlineStr">
        <is>
          <t>READY_FOR_PREPROD</t>
        </is>
      </c>
      <c r="T13" s="12" t="inlineStr">
        <is>
          <t>NOT_SUBMITTED</t>
        </is>
      </c>
      <c r="U13" s="12" t="inlineStr">
        <is>
          <t>PENDING</t>
        </is>
      </c>
      <c r="V13" s="12" t="inlineStr">
        <is>
          <t>PENDING</t>
        </is>
      </c>
      <c r="W13" s="12" t="inlineStr">
        <is>
          <t>HIGH</t>
        </is>
      </c>
      <c r="X13" s="32" t="n">
        <v>46244</v>
      </c>
      <c r="Y13" s="12" t="str"/>
      <c r="Z13" s="12" t="str"/>
      <c r="AA13" s="12" t="str"/>
    </row>
    <row r="14">
      <c r="A14" s="12" t="inlineStr">
        <is>
          <t>FT26-LED01_CURVO-013</t>
        </is>
      </c>
      <c r="B14" s="12" t="inlineStr">
        <is>
          <t>LED01_CURVO</t>
        </is>
      </c>
      <c r="C14" s="12" t="inlineStr">
        <is>
          <t>LED 1 — Frente / Curvo</t>
        </is>
      </c>
      <c r="D14" s="12" t="n">
        <v>13</v>
      </c>
      <c r="E14" s="12" t="inlineStr">
        <is>
          <t>Mucilon</t>
        </is>
      </c>
      <c r="F14" s="12" t="inlineStr">
        <is>
          <t>Zé</t>
        </is>
      </c>
      <c r="G14" s="12" t="str"/>
      <c r="H14" s="12" t="str"/>
      <c r="I14" s="12" t="str"/>
      <c r="J14" s="12" t="inlineStr">
        <is>
          <t>Não enviado</t>
        </is>
      </c>
      <c r="K14" s="12" t="str"/>
      <c r="L14" s="12" t="inlineStr">
        <is>
          <t>https://www.dropbox.com/request/mpbyq93b9iiuud8u1hlh</t>
        </is>
      </c>
      <c r="M14" s="12" t="str"/>
      <c r="N14" s="12" t="str"/>
      <c r="O14" s="12" t="str"/>
      <c r="P14" s="12" t="str"/>
      <c r="Q14" s="12" t="inlineStr">
        <is>
          <t>B_MOTION_KV</t>
        </is>
      </c>
      <c r="R14" s="12" t="inlineStr">
        <is>
          <t>WAITING_INPUT</t>
        </is>
      </c>
      <c r="S14" s="12" t="inlineStr">
        <is>
          <t>BLOCKED</t>
        </is>
      </c>
      <c r="T14" s="12" t="inlineStr">
        <is>
          <t>NOT_SUBMITTED</t>
        </is>
      </c>
      <c r="U14" s="12" t="inlineStr">
        <is>
          <t>PENDING</t>
        </is>
      </c>
      <c r="V14" s="12" t="inlineStr">
        <is>
          <t>PENDING</t>
        </is>
      </c>
      <c r="W14" s="12" t="inlineStr">
        <is>
          <t>HIGH</t>
        </is>
      </c>
      <c r="X14" s="32" t="n">
        <v>46244</v>
      </c>
      <c r="Y14" s="12" t="str"/>
      <c r="Z14" s="12" t="inlineStr">
        <is>
          <t>Direcional/briefing ausente</t>
        </is>
      </c>
      <c r="AA14" s="12" t="str"/>
    </row>
    <row r="15">
      <c r="A15" s="12" t="inlineStr">
        <is>
          <t>FT26-LED01_CURVO-014</t>
        </is>
      </c>
      <c r="B15" s="12" t="inlineStr">
        <is>
          <t>LED01_CURVO</t>
        </is>
      </c>
      <c r="C15" s="12" t="inlineStr">
        <is>
          <t>LED 1 — Frente / Curvo</t>
        </is>
      </c>
      <c r="D15" s="12" t="n">
        <v>14</v>
      </c>
      <c r="E15" s="12" t="inlineStr">
        <is>
          <t>Nestogeno</t>
        </is>
      </c>
      <c r="F15" s="12" t="str"/>
      <c r="G15" s="12" t="str"/>
      <c r="H15" s="12" t="str"/>
      <c r="I15" s="12" t="inlineStr">
        <is>
          <t>Animação dos Mockups com a frase "Marca com Maior Volume da Categoria"</t>
        </is>
      </c>
      <c r="J15" s="12" t="inlineStr">
        <is>
          <t>Enviado</t>
        </is>
      </c>
      <c r="K15" s="12" t="str"/>
      <c r="L15" s="12" t="inlineStr">
        <is>
          <t>https://www.dropbox.com/request/gb28tlrluvb3zdn92ztc</t>
        </is>
      </c>
      <c r="M15" s="12" t="str"/>
      <c r="N15" s="12" t="str"/>
      <c r="O15" s="12" t="str"/>
      <c r="P15" s="12" t="str"/>
      <c r="Q15" s="12" t="inlineStr">
        <is>
          <t>B_MOTION_KV</t>
        </is>
      </c>
      <c r="R15" s="12" t="inlineStr">
        <is>
          <t>INPUT_RECEIVED</t>
        </is>
      </c>
      <c r="S15" s="12" t="inlineStr">
        <is>
          <t>BLOCKED</t>
        </is>
      </c>
      <c r="T15" s="12" t="inlineStr">
        <is>
          <t>NOT_SUBMITTED</t>
        </is>
      </c>
      <c r="U15" s="12" t="inlineStr">
        <is>
          <t>PENDING</t>
        </is>
      </c>
      <c r="V15" s="12" t="inlineStr">
        <is>
          <t>PENDING</t>
        </is>
      </c>
      <c r="W15" s="12" t="inlineStr">
        <is>
          <t>HIGH</t>
        </is>
      </c>
      <c r="X15" s="32" t="n">
        <v>46244</v>
      </c>
      <c r="Y15" s="12" t="str"/>
      <c r="Z15" s="12" t="inlineStr">
        <is>
          <t>Responsável não definido</t>
        </is>
      </c>
      <c r="AA15" s="12" t="str"/>
    </row>
    <row r="16">
      <c r="A16" s="12" t="inlineStr">
        <is>
          <t>FT26-LED01_CURVO-015</t>
        </is>
      </c>
      <c r="B16" s="12" t="inlineStr">
        <is>
          <t>LED01_CURVO</t>
        </is>
      </c>
      <c r="C16" s="12" t="inlineStr">
        <is>
          <t>LED 1 — Frente / Curvo</t>
        </is>
      </c>
      <c r="D16" s="12" t="n">
        <v>15</v>
      </c>
      <c r="E16" s="12" t="inlineStr">
        <is>
          <t>Nanlac</t>
        </is>
      </c>
      <c r="F16" s="12" t="inlineStr">
        <is>
          <t>Thaís Griffel</t>
        </is>
      </c>
      <c r="G16" s="12" t="str"/>
      <c r="H16" s="12" t="inlineStr">
        <is>
          <t>https://nestle.sharepoint.com/teams/Marketing-IFGUMs/Documentos%20Compartilhados/Forms/AllItems.aspx?id=%2Fteams%2FMarketing%2DIFGUMs%2FDocumentos%20Compartilhados%2F2026%2FMARCAS%2FNAN%2F02%2E%20COMUNICA%C3%87%C3%83O%20CONSUMIDOR%2FMom%20Science%20%2D%20Nanlac%20Science%2FPe%C3%A7as%2FPE%C3%87AS%20PSD%20ALTA%2FABRAFARMA%5FFI%26GUMS%2FNestle%5FNANLAC%5FMomScience%5FEncounter%5FYT%5F%2816%2D9%29%5F15seg%2Ezip&amp;parent=%2Fteams%2FMarketing%2DIFGUMs%2FDocumentos%20Compartilhados%2F2026%2FMARCAS%2FNAN%2F02%2E%20COMUNICA%C3%87%C3%83O%20CONSUMIDOR%2FMom%20Science%20%2D%20Nanlac%20Science%2FPe%C3%A7as%2FPE%C3%87AS%20PSD%20ALTA%2FABRAFARMA%5FFI%26GUMS&amp;p=true&amp;ga=1</t>
        </is>
      </c>
      <c r="I16" s="12" t="str"/>
      <c r="J16" s="12" t="inlineStr">
        <is>
          <t>Enviado</t>
        </is>
      </c>
      <c r="K16" s="12" t="str"/>
      <c r="L16" s="12" t="inlineStr">
        <is>
          <t>https://www.dropbox.com/request/7jq9767e8yupmhgkcaw4</t>
        </is>
      </c>
      <c r="M16" s="12" t="str"/>
      <c r="N16" s="12" t="str"/>
      <c r="O16" s="12" t="str"/>
      <c r="P16" s="12" t="str"/>
      <c r="Q16" s="12" t="inlineStr">
        <is>
          <t>B_MOTION_KV</t>
        </is>
      </c>
      <c r="R16" s="12" t="inlineStr">
        <is>
          <t>INPUT_RECEIVED</t>
        </is>
      </c>
      <c r="S16" s="12" t="inlineStr">
        <is>
          <t>BLOCKED</t>
        </is>
      </c>
      <c r="T16" s="12" t="inlineStr">
        <is>
          <t>NOT_SUBMITTED</t>
        </is>
      </c>
      <c r="U16" s="12" t="inlineStr">
        <is>
          <t>PENDING</t>
        </is>
      </c>
      <c r="V16" s="12" t="inlineStr">
        <is>
          <t>PENDING</t>
        </is>
      </c>
      <c r="W16" s="12" t="inlineStr">
        <is>
          <t>HIGH</t>
        </is>
      </c>
      <c r="X16" s="32" t="n">
        <v>46244</v>
      </c>
      <c r="Y16" s="12" t="str"/>
      <c r="Z16" s="12" t="inlineStr">
        <is>
          <t>Direcional/briefing ausente</t>
        </is>
      </c>
      <c r="AA16" s="12" t="str"/>
    </row>
    <row r="17">
      <c r="A17" s="12" t="inlineStr">
        <is>
          <t>FT26-LED02_BALCAO_RECEITAS-016</t>
        </is>
      </c>
      <c r="B17" s="12" t="inlineStr">
        <is>
          <t>LED02_BALCAO_RECEITAS</t>
        </is>
      </c>
      <c r="C17" s="12" t="inlineStr">
        <is>
          <t>LED 2 — Balcão de Receitas</t>
        </is>
      </c>
      <c r="D17" s="12" t="n">
        <v>1</v>
      </c>
      <c r="E17" s="12" t="inlineStr">
        <is>
          <t>Puravida Whey</t>
        </is>
      </c>
      <c r="F17" s="12" t="inlineStr">
        <is>
          <t>Dani Marra</t>
        </is>
      </c>
      <c r="G17" s="12" t="str"/>
      <c r="H17" s="12" t="inlineStr">
        <is>
          <t>https://nestle-my.sharepoint.com/personal/sarah_ribeiro_br_nestle_com/_layouts/15/onedrive.aspx?id=%2Fpersonal%2Fsarah%5Fribeiro%5Fbr%5Fnestle%5Fcom%2FDocuments%2FLeds%20%2D%20Abrafarma%2FPuravida%2F02%2E%20Balc%C3%A3o%20de%20Receitas%2F10%5F04%5FCARROSSEL%5FMANTENDO%5FDEFESA%5FATIVIDADE%5FFISICA%5FOUTONO%5FSOCIAL%5FFEED%2Epsd&amp;parent=%2Fpersonal%2Fsarah%5Fribeiro%5Fbr%5Fnestle%5Fcom%2FDocuments%2FLeds%20%2D%20Abrafarma%2FPuravida%2F02%2E%20Balc%C3%A3o%20de%20Receitas&amp;ga=1</t>
        </is>
      </c>
      <c r="I17" s="12" t="inlineStr">
        <is>
          <t>A pureza de um Whey Protein merce um olhar mais atento. Destacar fonte de proteína e ingredientes destacados no rótulo da fórmula.</t>
        </is>
      </c>
      <c r="J17" s="12" t="inlineStr">
        <is>
          <t>Enviado</t>
        </is>
      </c>
      <c r="K17" s="12" t="str"/>
      <c r="L17" s="12" t="inlineStr">
        <is>
          <t>- Link acima</t>
        </is>
      </c>
      <c r="M17" s="12" t="inlineStr">
        <is>
          <t>N/A</t>
        </is>
      </c>
      <c r="N17" s="12" t="str"/>
      <c r="O17" s="12" t="str"/>
      <c r="P17" s="12" t="str"/>
      <c r="Q17" s="12" t="inlineStr">
        <is>
          <t>B_MOTION_KV</t>
        </is>
      </c>
      <c r="R17" s="12" t="inlineStr">
        <is>
          <t>INPUT_RECEIVED</t>
        </is>
      </c>
      <c r="S17" s="12" t="inlineStr">
        <is>
          <t>BLOCKED</t>
        </is>
      </c>
      <c r="T17" s="12" t="inlineStr">
        <is>
          <t>NOT_SUBMITTED</t>
        </is>
      </c>
      <c r="U17" s="12" t="inlineStr">
        <is>
          <t>PENDING</t>
        </is>
      </c>
      <c r="V17" s="12" t="inlineStr">
        <is>
          <t>PENDING</t>
        </is>
      </c>
      <c r="W17" s="12" t="inlineStr">
        <is>
          <t>HIGH</t>
        </is>
      </c>
      <c r="X17" s="32" t="n">
        <v>46244</v>
      </c>
      <c r="Y17" s="12" t="str"/>
      <c r="Z17" s="12" t="inlineStr">
        <is>
          <t>Link de material ausente ou indireto</t>
        </is>
      </c>
      <c r="AA17" s="12" t="str"/>
    </row>
    <row r="18">
      <c r="A18" s="12" t="inlineStr">
        <is>
          <t>FT26-LED02_BALCAO_RECEITAS-017</t>
        </is>
      </c>
      <c r="B18" s="12" t="inlineStr">
        <is>
          <t>LED02_BALCAO_RECEITAS</t>
        </is>
      </c>
      <c r="C18" s="12" t="inlineStr">
        <is>
          <t>LED 2 — Balcão de Receitas</t>
        </is>
      </c>
      <c r="D18" s="12" t="n">
        <v>2</v>
      </c>
      <c r="E18" s="12" t="inlineStr">
        <is>
          <t>Nutren Sênior</t>
        </is>
      </c>
      <c r="F18" s="12" t="inlineStr">
        <is>
          <t>Carolina Gutierrez</t>
        </is>
      </c>
      <c r="G18" s="12" t="str"/>
      <c r="H18" s="12" t="str"/>
      <c r="I18" s="12" t="str"/>
      <c r="J18" s="12" t="inlineStr">
        <is>
          <t>Não enviado</t>
        </is>
      </c>
      <c r="K18" s="12" t="str"/>
      <c r="L18" s="12" t="inlineStr">
        <is>
          <t>- Link acima</t>
        </is>
      </c>
      <c r="M18" s="12" t="inlineStr">
        <is>
          <t>N/A</t>
        </is>
      </c>
      <c r="N18" s="12" t="str"/>
      <c r="O18" s="12" t="str"/>
      <c r="P18" s="12" t="str"/>
      <c r="Q18" s="12" t="inlineStr">
        <is>
          <t>B_MOTION_KV</t>
        </is>
      </c>
      <c r="R18" s="12" t="inlineStr">
        <is>
          <t>WAITING_INPUT</t>
        </is>
      </c>
      <c r="S18" s="12" t="inlineStr">
        <is>
          <t>BLOCKED</t>
        </is>
      </c>
      <c r="T18" s="12" t="inlineStr">
        <is>
          <t>NOT_SUBMITTED</t>
        </is>
      </c>
      <c r="U18" s="12" t="inlineStr">
        <is>
          <t>PENDING</t>
        </is>
      </c>
      <c r="V18" s="12" t="inlineStr">
        <is>
          <t>PENDING</t>
        </is>
      </c>
      <c r="W18" s="12" t="inlineStr">
        <is>
          <t>HIGH</t>
        </is>
      </c>
      <c r="X18" s="32" t="n">
        <v>46244</v>
      </c>
      <c r="Y18" s="12" t="str"/>
      <c r="Z18" s="12" t="inlineStr">
        <is>
          <t>Direcional/briefing ausente; Link de material ausente ou indireto</t>
        </is>
      </c>
      <c r="AA18" s="12" t="str"/>
    </row>
    <row r="19">
      <c r="A19" s="12" t="inlineStr">
        <is>
          <t>FT26-LED02_BALCAO_RECEITAS-018</t>
        </is>
      </c>
      <c r="B19" s="12" t="inlineStr">
        <is>
          <t>LED02_BALCAO_RECEITAS</t>
        </is>
      </c>
      <c r="C19" s="12" t="inlineStr">
        <is>
          <t>LED 2 — Balcão de Receitas</t>
        </is>
      </c>
      <c r="D19" s="12" t="n">
        <v>3</v>
      </c>
      <c r="E19" s="12" t="inlineStr">
        <is>
          <t>Molico</t>
        </is>
      </c>
      <c r="F19" s="12" t="str"/>
      <c r="G19" s="12" t="str"/>
      <c r="H19" s="12" t="str"/>
      <c r="I19" s="12" t="str"/>
      <c r="J19" s="12" t="inlineStr">
        <is>
          <t>Não enviado</t>
        </is>
      </c>
      <c r="K19" s="12" t="str"/>
      <c r="L19" s="12" t="inlineStr">
        <is>
          <t>https://www.dropbox.com/request/vlys1ufim7nvasqvv2rn</t>
        </is>
      </c>
      <c r="M19" s="12" t="str"/>
      <c r="N19" s="12" t="str"/>
      <c r="O19" s="12" t="str"/>
      <c r="P19" s="12" t="str"/>
      <c r="Q19" s="12" t="inlineStr">
        <is>
          <t>B_MOTION_KV</t>
        </is>
      </c>
      <c r="R19" s="12" t="inlineStr">
        <is>
          <t>WAITING_INPUT</t>
        </is>
      </c>
      <c r="S19" s="12" t="inlineStr">
        <is>
          <t>BLOCKED</t>
        </is>
      </c>
      <c r="T19" s="12" t="inlineStr">
        <is>
          <t>NOT_SUBMITTED</t>
        </is>
      </c>
      <c r="U19" s="12" t="inlineStr">
        <is>
          <t>PENDING</t>
        </is>
      </c>
      <c r="V19" s="12" t="inlineStr">
        <is>
          <t>PENDING</t>
        </is>
      </c>
      <c r="W19" s="12" t="inlineStr">
        <is>
          <t>HIGH</t>
        </is>
      </c>
      <c r="X19" s="32" t="n">
        <v>46244</v>
      </c>
      <c r="Y19" s="12" t="str"/>
      <c r="Z19" s="12" t="inlineStr">
        <is>
          <t>Responsável não definido; Direcional/briefing ausente</t>
        </is>
      </c>
      <c r="AA19" s="12" t="str"/>
    </row>
    <row r="20">
      <c r="A20" s="12" t="inlineStr">
        <is>
          <t>FT26-LED02_BALCAO_RECEITAS-019</t>
        </is>
      </c>
      <c r="B20" s="12" t="inlineStr">
        <is>
          <t>LED02_BALCAO_RECEITAS</t>
        </is>
      </c>
      <c r="C20" s="12" t="inlineStr">
        <is>
          <t>LED 2 — Balcão de Receitas</t>
        </is>
      </c>
      <c r="D20" s="12" t="n">
        <v>4</v>
      </c>
      <c r="E20" s="12" t="inlineStr">
        <is>
          <t>Vital</t>
        </is>
      </c>
      <c r="F20" s="12" t="inlineStr">
        <is>
          <t>Lis Vetorello</t>
        </is>
      </c>
      <c r="G20" s="12" t="str"/>
      <c r="H20" s="12" t="str"/>
      <c r="I20" s="12" t="inlineStr">
        <is>
          <t>Mulher 40+ inspirada na Grazi massafera acordando e chegando na cozinha, fazendo seu ritual diurno preparando o copo com leite. Vital Ritual Matinal Baunilha e vai para um treino de Yoga. "Se cudar é Vital" - inserir contém glúten</t>
        </is>
      </c>
      <c r="J20" s="12" t="inlineStr">
        <is>
          <t>Enviado</t>
        </is>
      </c>
      <c r="K20" s="12" t="str"/>
      <c r="L20" s="12" t="inlineStr">
        <is>
          <t>- Link acima</t>
        </is>
      </c>
      <c r="M20" s="12" t="str"/>
      <c r="N20" s="12" t="str"/>
      <c r="O20" s="12" t="str"/>
      <c r="P20" s="12" t="str"/>
      <c r="Q20" s="12" t="inlineStr">
        <is>
          <t>C_NARRATIVE</t>
        </is>
      </c>
      <c r="R20" s="12" t="inlineStr">
        <is>
          <t>INPUT_RECEIVED</t>
        </is>
      </c>
      <c r="S20" s="12" t="inlineStr">
        <is>
          <t>BLOCKED</t>
        </is>
      </c>
      <c r="T20" s="12" t="inlineStr">
        <is>
          <t>NOT_SUBMITTED</t>
        </is>
      </c>
      <c r="U20" s="12" t="inlineStr">
        <is>
          <t>PENDING</t>
        </is>
      </c>
      <c r="V20" s="12" t="inlineStr">
        <is>
          <t>PENDING</t>
        </is>
      </c>
      <c r="W20" s="12" t="inlineStr">
        <is>
          <t>HIGH</t>
        </is>
      </c>
      <c r="X20" s="32" t="n">
        <v>46244</v>
      </c>
      <c r="Y20" s="12" t="str"/>
      <c r="Z20" s="12" t="inlineStr">
        <is>
          <t>Link de material ausente ou indireto</t>
        </is>
      </c>
      <c r="AA20" s="12" t="str"/>
    </row>
    <row r="21">
      <c r="A21" s="12" t="inlineStr">
        <is>
          <t>FT26-LED02_BALCAO_RECEITAS-020</t>
        </is>
      </c>
      <c r="B21" s="12" t="inlineStr">
        <is>
          <t>LED02_BALCAO_RECEITAS</t>
        </is>
      </c>
      <c r="C21" s="12" t="inlineStr">
        <is>
          <t>LED 2 — Balcão de Receitas</t>
        </is>
      </c>
      <c r="D21" s="12" t="n">
        <v>5</v>
      </c>
      <c r="E21" s="12" t="inlineStr">
        <is>
          <t>Nutren Protein RTD</t>
        </is>
      </c>
      <c r="F21" s="12" t="inlineStr">
        <is>
          <t>Thalita Araújo</t>
        </is>
      </c>
      <c r="G21" s="12" t="str"/>
      <c r="H21" s="12" t="str"/>
      <c r="I21" s="12" t="str"/>
      <c r="J21" s="12" t="inlineStr">
        <is>
          <t>Enviado</t>
        </is>
      </c>
      <c r="K21" s="12" t="str"/>
      <c r="L21" s="12" t="inlineStr">
        <is>
          <t>- Link acima</t>
        </is>
      </c>
      <c r="M21" s="12" t="str"/>
      <c r="N21" s="12" t="str"/>
      <c r="O21" s="12" t="str"/>
      <c r="P21" s="12" t="str"/>
      <c r="Q21" s="12" t="inlineStr">
        <is>
          <t>B_MOTION_KV</t>
        </is>
      </c>
      <c r="R21" s="12" t="inlineStr">
        <is>
          <t>INPUT_RECEIVED</t>
        </is>
      </c>
      <c r="S21" s="12" t="inlineStr">
        <is>
          <t>BLOCKED</t>
        </is>
      </c>
      <c r="T21" s="12" t="inlineStr">
        <is>
          <t>NOT_SUBMITTED</t>
        </is>
      </c>
      <c r="U21" s="12" t="inlineStr">
        <is>
          <t>PENDING</t>
        </is>
      </c>
      <c r="V21" s="12" t="inlineStr">
        <is>
          <t>PENDING</t>
        </is>
      </c>
      <c r="W21" s="12" t="inlineStr">
        <is>
          <t>HIGH</t>
        </is>
      </c>
      <c r="X21" s="32" t="n">
        <v>46244</v>
      </c>
      <c r="Y21" s="12" t="str"/>
      <c r="Z21" s="12" t="inlineStr">
        <is>
          <t>Direcional/briefing ausente; Link de material ausente ou indireto</t>
        </is>
      </c>
      <c r="AA21" s="12" t="str"/>
    </row>
    <row r="22">
      <c r="A22" s="12" t="inlineStr">
        <is>
          <t>FT26-LED02_BALCAO_RECEITAS-021</t>
        </is>
      </c>
      <c r="B22" s="12" t="inlineStr">
        <is>
          <t>LED02_BALCAO_RECEITAS</t>
        </is>
      </c>
      <c r="C22" s="12" t="inlineStr">
        <is>
          <t>LED 2 — Balcão de Receitas</t>
        </is>
      </c>
      <c r="D22" s="12" t="n">
        <v>6</v>
      </c>
      <c r="E22" s="12" t="inlineStr">
        <is>
          <t>Nestlé Chocolates</t>
        </is>
      </c>
      <c r="F22" s="12" t="str"/>
      <c r="G22" s="12" t="inlineStr">
        <is>
          <t>Ja temos um Video pronto de Produto - adaptar</t>
        </is>
      </c>
      <c r="H22" s="12" t="str"/>
      <c r="I22" s="12" t="str"/>
      <c r="J22" s="12" t="inlineStr">
        <is>
          <t>Não enviado</t>
        </is>
      </c>
      <c r="K22" s="12" t="str"/>
      <c r="L22" s="12" t="inlineStr">
        <is>
          <t>https://www.dropbox.com/request/04qq2bvpg1ty47r1l636</t>
        </is>
      </c>
      <c r="M22" s="12" t="str"/>
      <c r="N22" s="12" t="str"/>
      <c r="O22" s="12" t="str"/>
      <c r="P22" s="12" t="str"/>
      <c r="Q22" s="12" t="inlineStr">
        <is>
          <t>A_ADAPTATION</t>
        </is>
      </c>
      <c r="R22" s="12" t="inlineStr">
        <is>
          <t>WAITING_INPUT</t>
        </is>
      </c>
      <c r="S22" s="12" t="inlineStr">
        <is>
          <t>BLOCKED</t>
        </is>
      </c>
      <c r="T22" s="12" t="inlineStr">
        <is>
          <t>NOT_SUBMITTED</t>
        </is>
      </c>
      <c r="U22" s="12" t="inlineStr">
        <is>
          <t>PENDING</t>
        </is>
      </c>
      <c r="V22" s="12" t="inlineStr">
        <is>
          <t>PENDING</t>
        </is>
      </c>
      <c r="W22" s="12" t="inlineStr">
        <is>
          <t>HIGH</t>
        </is>
      </c>
      <c r="X22" s="32" t="n">
        <v>46244</v>
      </c>
      <c r="Y22" s="12" t="str"/>
      <c r="Z22" s="12" t="inlineStr">
        <is>
          <t>Responsável não definido; Direcional/briefing ausente</t>
        </is>
      </c>
      <c r="AA22" s="12" t="str"/>
    </row>
    <row r="23">
      <c r="A23" s="12" t="inlineStr">
        <is>
          <t>FT26-LED02_BALCAO_RECEITAS-022</t>
        </is>
      </c>
      <c r="B23" s="12" t="inlineStr">
        <is>
          <t>LED02_BALCAO_RECEITAS</t>
        </is>
      </c>
      <c r="C23" s="12" t="inlineStr">
        <is>
          <t>LED 2 — Balcão de Receitas</t>
        </is>
      </c>
      <c r="D23" s="12" t="n">
        <v>7</v>
      </c>
      <c r="E23" s="12" t="inlineStr">
        <is>
          <t>Nescafé Pro Energy</t>
        </is>
      </c>
      <c r="F23" s="12" t="str"/>
      <c r="G23" s="12" t="inlineStr">
        <is>
          <t>Jà temos um Video pronto de Produto - adaptar</t>
        </is>
      </c>
      <c r="H23" s="12" t="str"/>
      <c r="I23" s="12" t="inlineStr">
        <is>
          <t>Mulher com roupa de escritório se preparando para uma reunião e busca o "telão" para pegar o produto - Toma o Pró Energy e se sente pronta</t>
        </is>
      </c>
      <c r="J23" s="12" t="inlineStr">
        <is>
          <t>Enviado</t>
        </is>
      </c>
      <c r="K23" s="12" t="str"/>
      <c r="L23" s="12" t="inlineStr">
        <is>
          <t>https://www.dropbox.com/request/5ia9z69ypx5r0s44f273</t>
        </is>
      </c>
      <c r="M23" s="12" t="str"/>
      <c r="N23" s="12" t="str"/>
      <c r="O23" s="12" t="str"/>
      <c r="P23" s="12" t="str"/>
      <c r="Q23" s="12" t="inlineStr">
        <is>
          <t>C_NARRATIVE</t>
        </is>
      </c>
      <c r="R23" s="12" t="inlineStr">
        <is>
          <t>INPUT_RECEIVED</t>
        </is>
      </c>
      <c r="S23" s="12" t="inlineStr">
        <is>
          <t>BLOCKED</t>
        </is>
      </c>
      <c r="T23" s="12" t="inlineStr">
        <is>
          <t>NOT_SUBMITTED</t>
        </is>
      </c>
      <c r="U23" s="12" t="inlineStr">
        <is>
          <t>PENDING</t>
        </is>
      </c>
      <c r="V23" s="12" t="inlineStr">
        <is>
          <t>PENDING</t>
        </is>
      </c>
      <c r="W23" s="12" t="inlineStr">
        <is>
          <t>HIGH</t>
        </is>
      </c>
      <c r="X23" s="32" t="n">
        <v>46244</v>
      </c>
      <c r="Y23" s="12" t="str"/>
      <c r="Z23" s="12" t="inlineStr">
        <is>
          <t>Responsável não definido</t>
        </is>
      </c>
      <c r="AA23" s="12" t="str"/>
    </row>
    <row r="24">
      <c r="A24" s="12" t="inlineStr">
        <is>
          <t>FT26-LED02_BALCAO_RECEITAS-023</t>
        </is>
      </c>
      <c r="B24" s="12" t="inlineStr">
        <is>
          <t>LED02_BALCAO_RECEITAS</t>
        </is>
      </c>
      <c r="C24" s="12" t="inlineStr">
        <is>
          <t>LED 2 — Balcão de Receitas</t>
        </is>
      </c>
      <c r="D24" s="12" t="n">
        <v>8</v>
      </c>
      <c r="E24" s="12" t="inlineStr">
        <is>
          <t>Nescau Protein RTD</t>
        </is>
      </c>
      <c r="F24" s="12" t="str"/>
      <c r="G24" s="12" t="inlineStr">
        <is>
          <t>Jà temos um Video pronto de Produto - adaptar</t>
        </is>
      </c>
      <c r="H24" s="12" t="str"/>
      <c r="I24" s="12" t="inlineStr">
        <is>
          <t>Adolescente com roupa de faculdade e mochila e uma agenda cheia pela frente. Está aparentemente consado da rotina com muitas atividades pra fazer, toma um Nescau Protein RTD e se sente pronto e recarregado pra ir pro treino de basquete.</t>
        </is>
      </c>
      <c r="J24" s="12" t="inlineStr">
        <is>
          <t>Enviado</t>
        </is>
      </c>
      <c r="K24" s="12" t="str"/>
      <c r="L24" s="12" t="inlineStr">
        <is>
          <t>https://www.dropbox.com/request/ig35u9z0vydgzqz4d6j8</t>
        </is>
      </c>
      <c r="M24" s="12" t="str"/>
      <c r="N24" s="12" t="str"/>
      <c r="O24" s="12" t="str"/>
      <c r="P24" s="12" t="str"/>
      <c r="Q24" s="12" t="inlineStr">
        <is>
          <t>C_NARRATIVE</t>
        </is>
      </c>
      <c r="R24" s="12" t="inlineStr">
        <is>
          <t>INPUT_RECEIVED</t>
        </is>
      </c>
      <c r="S24" s="12" t="inlineStr">
        <is>
          <t>BLOCKED</t>
        </is>
      </c>
      <c r="T24" s="12" t="inlineStr">
        <is>
          <t>NOT_SUBMITTED</t>
        </is>
      </c>
      <c r="U24" s="12" t="inlineStr">
        <is>
          <t>PENDING</t>
        </is>
      </c>
      <c r="V24" s="12" t="inlineStr">
        <is>
          <t>PENDING</t>
        </is>
      </c>
      <c r="W24" s="12" t="inlineStr">
        <is>
          <t>HIGH</t>
        </is>
      </c>
      <c r="X24" s="32" t="n">
        <v>46244</v>
      </c>
      <c r="Y24" s="12" t="str"/>
      <c r="Z24" s="12" t="inlineStr">
        <is>
          <t>Responsável não definido</t>
        </is>
      </c>
      <c r="AA24" s="12" t="str"/>
    </row>
    <row r="25">
      <c r="A25" s="12" t="inlineStr">
        <is>
          <t>FT26-LED02_BALCAO_RECEITAS-024</t>
        </is>
      </c>
      <c r="B25" s="12" t="inlineStr">
        <is>
          <t>LED02_BALCAO_RECEITAS</t>
        </is>
      </c>
      <c r="C25" s="12" t="inlineStr">
        <is>
          <t>LED 2 — Balcão de Receitas</t>
        </is>
      </c>
      <c r="D25" s="12" t="n">
        <v>9</v>
      </c>
      <c r="E25" s="12" t="inlineStr">
        <is>
          <t>Nutren Creatina</t>
        </is>
      </c>
      <c r="F25" s="12" t="inlineStr">
        <is>
          <t>Thalita Araújo</t>
        </is>
      </c>
      <c r="G25" s="12" t="str"/>
      <c r="H25" s="12" t="str"/>
      <c r="I25" s="12" t="str"/>
      <c r="J25" s="12" t="inlineStr">
        <is>
          <t>Não enviado</t>
        </is>
      </c>
      <c r="K25" s="12" t="str"/>
      <c r="L25" s="12" t="inlineStr">
        <is>
          <t>- Link acima</t>
        </is>
      </c>
      <c r="M25" s="12" t="str"/>
      <c r="N25" s="12" t="str"/>
      <c r="O25" s="12" t="str"/>
      <c r="P25" s="12" t="str"/>
      <c r="Q25" s="12" t="inlineStr">
        <is>
          <t>B_MOTION_KV</t>
        </is>
      </c>
      <c r="R25" s="12" t="inlineStr">
        <is>
          <t>WAITING_INPUT</t>
        </is>
      </c>
      <c r="S25" s="12" t="inlineStr">
        <is>
          <t>BLOCKED</t>
        </is>
      </c>
      <c r="T25" s="12" t="inlineStr">
        <is>
          <t>NOT_SUBMITTED</t>
        </is>
      </c>
      <c r="U25" s="12" t="inlineStr">
        <is>
          <t>PENDING</t>
        </is>
      </c>
      <c r="V25" s="12" t="inlineStr">
        <is>
          <t>PENDING</t>
        </is>
      </c>
      <c r="W25" s="12" t="inlineStr">
        <is>
          <t>HIGH</t>
        </is>
      </c>
      <c r="X25" s="32" t="n">
        <v>46244</v>
      </c>
      <c r="Y25" s="12" t="str"/>
      <c r="Z25" s="12" t="inlineStr">
        <is>
          <t>Direcional/briefing ausente; Link de material ausente ou indireto</t>
        </is>
      </c>
      <c r="AA25" s="12" t="str"/>
    </row>
    <row r="26">
      <c r="A26" s="12" t="inlineStr">
        <is>
          <t>FT26-LED03_CORREDOR_GLP1-025</t>
        </is>
      </c>
      <c r="B26" s="12" t="inlineStr">
        <is>
          <t>LED03_CORREDOR_GLP1</t>
        </is>
      </c>
      <c r="C26" s="12" t="inlineStr">
        <is>
          <t>LED 3 — Corredor / GLP-1</t>
        </is>
      </c>
      <c r="D26" s="12" t="n">
        <v>1</v>
      </c>
      <c r="E26" s="12" t="inlineStr">
        <is>
          <t>Vital</t>
        </is>
      </c>
      <c r="F26" s="12" t="str"/>
      <c r="G26" s="12" t="str"/>
      <c r="H26" s="12" t="inlineStr">
        <is>
          <t>https://nestle-my.sharepoint.com/personal/sarah_ribeiro_br_nestle_com/_layouts/15/onedrive.aspx?id=%2Fpersonal%2Fsarah%5Fribeiro%5Fbr%5Fnestle%5Fcom%2FDocuments%2FLeds%20%2D%20Abrafarma%2FV%C3%ADdeo%20Vital&amp;ga=1</t>
        </is>
      </c>
      <c r="I26" s="12" t="inlineStr">
        <is>
          <t>Combinar e animar as artes de cada SKU (Matinal e Noturno em 1 só). Vital Ritual Matinal: Energia e Foco ao Longo do dia com Taurina e Vitaminas do Complexo B. 23g de proteína adicionada ao leite. Dar mais destaque ao mockup + claims. Vital Ritual Noturno: Descanso e Relaxamento, Inositol, Magnésio e Colágeno. 23g de proteína adicionado ao leite. Destaque no mockup e claims</t>
        </is>
      </c>
      <c r="J26" s="12" t="inlineStr">
        <is>
          <t>Enviado</t>
        </is>
      </c>
      <c r="K26" s="12" t="str"/>
      <c r="L26" s="12" t="inlineStr">
        <is>
          <t>- Link acima</t>
        </is>
      </c>
      <c r="M26" s="12" t="str"/>
      <c r="N26" s="12" t="str"/>
      <c r="O26" s="12" t="str"/>
      <c r="P26" s="12" t="str"/>
      <c r="Q26" s="12" t="inlineStr">
        <is>
          <t>B_MOTION_KV</t>
        </is>
      </c>
      <c r="R26" s="12" t="inlineStr">
        <is>
          <t>INPUT_RECEIVED</t>
        </is>
      </c>
      <c r="S26" s="12" t="inlineStr">
        <is>
          <t>BLOCKED</t>
        </is>
      </c>
      <c r="T26" s="12" t="inlineStr">
        <is>
          <t>NOT_SUBMITTED</t>
        </is>
      </c>
      <c r="U26" s="12" t="inlineStr">
        <is>
          <t>PENDING</t>
        </is>
      </c>
      <c r="V26" s="12" t="inlineStr">
        <is>
          <t>PENDING</t>
        </is>
      </c>
      <c r="W26" s="12" t="inlineStr">
        <is>
          <t>HIGH</t>
        </is>
      </c>
      <c r="X26" s="32" t="n">
        <v>46244</v>
      </c>
      <c r="Y26" s="12" t="str"/>
      <c r="Z26" s="12" t="inlineStr">
        <is>
          <t>Responsável não definido; Link de material ausente ou indireto</t>
        </is>
      </c>
      <c r="AA26" s="12" t="str"/>
    </row>
    <row r="27">
      <c r="A27" s="12" t="inlineStr">
        <is>
          <t>FT26-LED03_CORREDOR_GLP1-026</t>
        </is>
      </c>
      <c r="B27" s="12" t="inlineStr">
        <is>
          <t>LED03_CORREDOR_GLP1</t>
        </is>
      </c>
      <c r="C27" s="12" t="inlineStr">
        <is>
          <t>LED 3 — Corredor / GLP-1</t>
        </is>
      </c>
      <c r="D27" s="12" t="n">
        <v>2</v>
      </c>
      <c r="E27" s="12" t="inlineStr">
        <is>
          <t>Nutren Control</t>
        </is>
      </c>
      <c r="F27" s="12" t="str"/>
      <c r="G27" s="12" t="str"/>
      <c r="H27" s="12" t="inlineStr">
        <is>
          <t>Link de vídeo está para o Ascenda</t>
        </is>
      </c>
      <c r="I27" s="12" t="str"/>
      <c r="J27" s="12" t="inlineStr">
        <is>
          <t>Não enviado</t>
        </is>
      </c>
      <c r="K27" s="12" t="str"/>
      <c r="L27" s="12" t="inlineStr">
        <is>
          <t>https://www.dropbox.com/request/xx308h41zultfkrecb8n</t>
        </is>
      </c>
      <c r="M27" s="12" t="str"/>
      <c r="N27" s="12" t="str"/>
      <c r="O27" s="12" t="str"/>
      <c r="P27" s="12" t="str"/>
      <c r="Q27" s="12" t="inlineStr">
        <is>
          <t>B_MOTION_KV</t>
        </is>
      </c>
      <c r="R27" s="12" t="inlineStr">
        <is>
          <t>WAITING_INPUT</t>
        </is>
      </c>
      <c r="S27" s="12" t="inlineStr">
        <is>
          <t>BLOCKED</t>
        </is>
      </c>
      <c r="T27" s="12" t="inlineStr">
        <is>
          <t>NOT_SUBMITTED</t>
        </is>
      </c>
      <c r="U27" s="12" t="inlineStr">
        <is>
          <t>PENDING</t>
        </is>
      </c>
      <c r="V27" s="12" t="inlineStr">
        <is>
          <t>PENDING</t>
        </is>
      </c>
      <c r="W27" s="12" t="inlineStr">
        <is>
          <t>HIGH</t>
        </is>
      </c>
      <c r="X27" s="32" t="n">
        <v>46244</v>
      </c>
      <c r="Y27" s="12" t="str"/>
      <c r="Z27" s="12" t="inlineStr">
        <is>
          <t>Responsável não definido; Direcional/briefing ausente; Link possivelmente incorreto</t>
        </is>
      </c>
      <c r="AA27" s="12" t="str"/>
    </row>
    <row r="28">
      <c r="A28" s="12" t="inlineStr">
        <is>
          <t>FT26-LED03_CORREDOR_GLP1-027</t>
        </is>
      </c>
      <c r="B28" s="12" t="inlineStr">
        <is>
          <t>LED03_CORREDOR_GLP1</t>
        </is>
      </c>
      <c r="C28" s="12" t="inlineStr">
        <is>
          <t>LED 3 — Corredor / GLP-1</t>
        </is>
      </c>
      <c r="D28" s="12" t="n">
        <v>3</v>
      </c>
      <c r="E28" s="12" t="inlineStr">
        <is>
          <t>Nutren Capsulas</t>
        </is>
      </c>
      <c r="F28" s="12" t="str"/>
      <c r="G28" s="12" t="str"/>
      <c r="H28" s="12" t="inlineStr">
        <is>
          <t>https://nestle.sharepoint.com/teams/MarketingConsumerCareNHScBR/Shared%20Documents/Forms/AllItems.aspx?id=%2Fteams%2FMarketingConsumerCareNHScBR%2FShared%20Documents%2FNutren%20Adultos%2FArtes%2FV%C3%ADdeos%2FVIDEO%20MULTIS%5F1920x1080px%2Emp4%2Ezip&amp;parent=%2Fteams%2FMarketingConsumerCareNHScBR%2FShared%20Documents%2FNutren%20Adultos%2FArtes%2FV%C3%ADdeos&amp;p=true&amp;ct=1785849567192&amp;or=Teams%2DHL&amp;ga=1&amp;LOF=1</t>
        </is>
      </c>
      <c r="I28" s="12" t="inlineStr">
        <is>
          <t>Manter descrição dos diferenciais com selo de destaque - foco nos multivitaminicos. Adaptar</t>
        </is>
      </c>
      <c r="J28" s="12" t="inlineStr">
        <is>
          <t>Enviado</t>
        </is>
      </c>
      <c r="K28" s="12" t="str"/>
      <c r="L28" s="12" t="inlineStr">
        <is>
          <t>https://www.dropbox.com/request/ru2aqerf6edz9scb4z2t</t>
        </is>
      </c>
      <c r="M28" s="12" t="str"/>
      <c r="N28" s="12" t="str"/>
      <c r="O28" s="12" t="str"/>
      <c r="P28" s="12" t="str"/>
      <c r="Q28" s="12" t="inlineStr">
        <is>
          <t>A_ADAPTATION</t>
        </is>
      </c>
      <c r="R28" s="12" t="inlineStr">
        <is>
          <t>INPUT_RECEIVED</t>
        </is>
      </c>
      <c r="S28" s="12" t="inlineStr">
        <is>
          <t>BLOCKED</t>
        </is>
      </c>
      <c r="T28" s="12" t="inlineStr">
        <is>
          <t>NOT_SUBMITTED</t>
        </is>
      </c>
      <c r="U28" s="12" t="inlineStr">
        <is>
          <t>PENDING</t>
        </is>
      </c>
      <c r="V28" s="12" t="inlineStr">
        <is>
          <t>PENDING</t>
        </is>
      </c>
      <c r="W28" s="12" t="inlineStr">
        <is>
          <t>HIGH</t>
        </is>
      </c>
      <c r="X28" s="32" t="n">
        <v>46244</v>
      </c>
      <c r="Y28" s="12" t="str"/>
      <c r="Z28" s="12" t="inlineStr">
        <is>
          <t>Responsável não definido</t>
        </is>
      </c>
      <c r="AA28" s="12" t="str"/>
    </row>
    <row r="29">
      <c r="A29" s="12" t="inlineStr">
        <is>
          <t>FT26-LED03_CORREDOR_GLP1-028</t>
        </is>
      </c>
      <c r="B29" s="12" t="inlineStr">
        <is>
          <t>LED03_CORREDOR_GLP1</t>
        </is>
      </c>
      <c r="C29" s="12" t="inlineStr">
        <is>
          <t>LED 3 — Corredor / GLP-1</t>
        </is>
      </c>
      <c r="D29" s="12" t="n">
        <v>4</v>
      </c>
      <c r="E29" s="12" t="inlineStr">
        <is>
          <t>Materna</t>
        </is>
      </c>
      <c r="F29" s="12" t="str"/>
      <c r="G29" s="12" t="inlineStr">
        <is>
          <t>retirar</t>
        </is>
      </c>
      <c r="H29" s="12" t="str"/>
      <c r="I29" s="12" t="str"/>
      <c r="J29" s="12" t="inlineStr">
        <is>
          <t>Enviado</t>
        </is>
      </c>
      <c r="K29" s="12" t="str"/>
      <c r="L29" s="12" t="inlineStr">
        <is>
          <t>- Link acima</t>
        </is>
      </c>
      <c r="M29" s="12" t="str"/>
      <c r="N29" s="12" t="str"/>
      <c r="O29" s="12" t="str"/>
      <c r="P29" s="12" t="str"/>
      <c r="Q29" s="12" t="inlineStr">
        <is>
          <t>B_MOTION_KV</t>
        </is>
      </c>
      <c r="R29" s="12" t="inlineStr">
        <is>
          <t>INPUT_RECEIVED</t>
        </is>
      </c>
      <c r="S29" s="12" t="inlineStr">
        <is>
          <t>REMOVED_PENDING_CONFIRMATION</t>
        </is>
      </c>
      <c r="T29" s="12" t="inlineStr">
        <is>
          <t>NOT_SUBMITTED</t>
        </is>
      </c>
      <c r="U29" s="12" t="inlineStr">
        <is>
          <t>PENDING</t>
        </is>
      </c>
      <c r="V29" s="12" t="inlineStr">
        <is>
          <t>PENDING</t>
        </is>
      </c>
      <c r="W29" s="12" t="inlineStr">
        <is>
          <t>HIGH</t>
        </is>
      </c>
      <c r="X29" s="32" t="n">
        <v>46244</v>
      </c>
      <c r="Y29" s="12" t="str"/>
      <c r="Z29" s="12" t="inlineStr">
        <is>
          <t>Responsável não definido; Direcional/briefing ausente; Link de material ausente ou indireto</t>
        </is>
      </c>
      <c r="AA29" s="12" t="str"/>
    </row>
    <row r="30">
      <c r="A30" s="12" t="inlineStr">
        <is>
          <t>FT26-LED03_CORREDOR_GLP1-029</t>
        </is>
      </c>
      <c r="B30" s="12" t="inlineStr">
        <is>
          <t>LED03_CORREDOR_GLP1</t>
        </is>
      </c>
      <c r="C30" s="12" t="inlineStr">
        <is>
          <t>LED 3 — Corredor / GLP-1</t>
        </is>
      </c>
      <c r="D30" s="12" t="n">
        <v>5</v>
      </c>
      <c r="E30" s="12" t="inlineStr">
        <is>
          <t>Puravida (Portfólio completo)</t>
        </is>
      </c>
      <c r="F30" s="12" t="str"/>
      <c r="G30" s="12" t="str"/>
      <c r="H30" s="12" t="str"/>
      <c r="I30" s="12" t="str"/>
      <c r="J30" s="12" t="inlineStr">
        <is>
          <t>Enviado</t>
        </is>
      </c>
      <c r="K30" s="12" t="str"/>
      <c r="L30" s="12" t="inlineStr">
        <is>
          <t>https://www.dropbox.com/request/5m7hytc79ptv3xvym5v5</t>
        </is>
      </c>
      <c r="M30" s="12" t="str"/>
      <c r="N30" s="12" t="str"/>
      <c r="O30" s="12" t="str"/>
      <c r="P30" s="12" t="str"/>
      <c r="Q30" s="12" t="inlineStr">
        <is>
          <t>B_MOTION_KV</t>
        </is>
      </c>
      <c r="R30" s="12" t="inlineStr">
        <is>
          <t>INPUT_RECEIVED</t>
        </is>
      </c>
      <c r="S30" s="12" t="inlineStr">
        <is>
          <t>BLOCKED</t>
        </is>
      </c>
      <c r="T30" s="12" t="inlineStr">
        <is>
          <t>NOT_SUBMITTED</t>
        </is>
      </c>
      <c r="U30" s="12" t="inlineStr">
        <is>
          <t>PENDING</t>
        </is>
      </c>
      <c r="V30" s="12" t="inlineStr">
        <is>
          <t>PENDING</t>
        </is>
      </c>
      <c r="W30" s="12" t="inlineStr">
        <is>
          <t>HIGH</t>
        </is>
      </c>
      <c r="X30" s="32" t="n">
        <v>46244</v>
      </c>
      <c r="Y30" s="12" t="str"/>
      <c r="Z30" s="12" t="inlineStr">
        <is>
          <t>Responsável não definido; Direcional/briefing ausente</t>
        </is>
      </c>
      <c r="AA30" s="12" t="str"/>
    </row>
    <row r="31">
      <c r="A31" s="12" t="inlineStr">
        <is>
          <t>FT26-LED03_CORREDOR_GLP1-030</t>
        </is>
      </c>
      <c r="B31" s="12" t="inlineStr">
        <is>
          <t>LED03_CORREDOR_GLP1</t>
        </is>
      </c>
      <c r="C31" s="12" t="inlineStr">
        <is>
          <t>LED 3 — Corredor / GLP-1</t>
        </is>
      </c>
      <c r="D31" s="12" t="n">
        <v>6</v>
      </c>
      <c r="E31" s="12" t="inlineStr">
        <is>
          <t>Molico</t>
        </is>
      </c>
      <c r="F31" s="12" t="str"/>
      <c r="G31" s="12" t="str"/>
      <c r="H31" s="12" t="str"/>
      <c r="I31" s="12" t="inlineStr">
        <is>
          <t>Juntar vídeos em 1 único vídeo de portfólio</t>
        </is>
      </c>
      <c r="J31" s="12" t="str"/>
      <c r="K31" s="12" t="str"/>
      <c r="L31" s="12" t="inlineStr">
        <is>
          <t>- Link acima</t>
        </is>
      </c>
      <c r="M31" s="12" t="str"/>
      <c r="N31" s="12" t="str"/>
      <c r="O31" s="12" t="str"/>
      <c r="P31" s="12" t="str"/>
      <c r="Q31" s="12" t="inlineStr">
        <is>
          <t>A_ADAPTATION</t>
        </is>
      </c>
      <c r="R31" s="12" t="inlineStr">
        <is>
          <t>PARTIAL_INPUT</t>
        </is>
      </c>
      <c r="S31" s="12" t="inlineStr">
        <is>
          <t>BLOCKED</t>
        </is>
      </c>
      <c r="T31" s="12" t="inlineStr">
        <is>
          <t>NOT_SUBMITTED</t>
        </is>
      </c>
      <c r="U31" s="12" t="inlineStr">
        <is>
          <t>PENDING</t>
        </is>
      </c>
      <c r="V31" s="12" t="inlineStr">
        <is>
          <t>PENDING</t>
        </is>
      </c>
      <c r="W31" s="12" t="inlineStr">
        <is>
          <t>HIGH</t>
        </is>
      </c>
      <c r="X31" s="32" t="n">
        <v>46244</v>
      </c>
      <c r="Y31" s="12" t="str"/>
      <c r="Z31" s="12" t="inlineStr">
        <is>
          <t>Responsável não definido; Link de material ausente ou indireto</t>
        </is>
      </c>
      <c r="AA31" s="12" t="str"/>
    </row>
    <row r="32">
      <c r="A32" s="12" t="inlineStr">
        <is>
          <t>FT26-LED04_PAINEL_INTERATIVO-031</t>
        </is>
      </c>
      <c r="B32" s="12" t="inlineStr">
        <is>
          <t>LED04_PAINEL_INTERATIVO</t>
        </is>
      </c>
      <c r="C32" s="12" t="inlineStr">
        <is>
          <t>LED 4 — Painel Interativo</t>
        </is>
      </c>
      <c r="D32" s="12" t="n">
        <v>0</v>
      </c>
      <c r="E32" s="12" t="inlineStr">
        <is>
          <t>Intro Nina</t>
        </is>
      </c>
      <c r="F32" s="12" t="str"/>
      <c r="G32" s="12" t="str"/>
      <c r="H32" s="12" t="str"/>
      <c r="I32" s="12" t="inlineStr">
        <is>
          <t>Nutrição e saúde em todas as fases da vida</t>
        </is>
      </c>
      <c r="J32" s="12" t="str"/>
      <c r="K32" s="12" t="str"/>
      <c r="L32" s="12" t="str"/>
      <c r="M32" s="12" t="str"/>
      <c r="N32" s="12" t="str"/>
      <c r="O32" s="12" t="str"/>
      <c r="P32" s="12" t="str"/>
      <c r="Q32" s="12" t="inlineStr">
        <is>
          <t>D_INTERACTIVE</t>
        </is>
      </c>
      <c r="R32" s="12" t="inlineStr">
        <is>
          <t>PARTIAL_INPUT</t>
        </is>
      </c>
      <c r="S32" s="12" t="inlineStr">
        <is>
          <t>BLOCKED</t>
        </is>
      </c>
      <c r="T32" s="12" t="inlineStr">
        <is>
          <t>NOT_SUBMITTED</t>
        </is>
      </c>
      <c r="U32" s="12" t="inlineStr">
        <is>
          <t>PENDING</t>
        </is>
      </c>
      <c r="V32" s="12" t="inlineStr">
        <is>
          <t>PENDING</t>
        </is>
      </c>
      <c r="W32" s="12" t="inlineStr">
        <is>
          <t>HIGH</t>
        </is>
      </c>
      <c r="X32" s="32" t="n">
        <v>46244</v>
      </c>
      <c r="Y32" s="12" t="str"/>
      <c r="Z32" s="12" t="inlineStr">
        <is>
          <t>Responsável não definido; Link de material ausente ou indireto</t>
        </is>
      </c>
      <c r="AA32" s="12" t="str"/>
    </row>
    <row r="33">
      <c r="A33" s="12" t="inlineStr">
        <is>
          <t>FT26-LED04_PAINEL_INTERATIVO-032</t>
        </is>
      </c>
      <c r="B33" s="12" t="inlineStr">
        <is>
          <t>LED04_PAINEL_INTERATIVO</t>
        </is>
      </c>
      <c r="C33" s="12" t="inlineStr">
        <is>
          <t>LED 4 — Painel Interativo</t>
        </is>
      </c>
      <c r="D33" s="12" t="n">
        <v>1</v>
      </c>
      <c r="E33" s="12" t="inlineStr">
        <is>
          <t>Materna</t>
        </is>
      </c>
      <c r="F33" s="12" t="str"/>
      <c r="G33" s="12" t="str"/>
      <c r="H33" s="12" t="inlineStr">
        <is>
          <t>Link Wetransfer expirado</t>
        </is>
      </c>
      <c r="I33" s="12" t="str"/>
      <c r="J33" s="12" t="inlineStr">
        <is>
          <t>Enviado</t>
        </is>
      </c>
      <c r="K33" s="12" t="str"/>
      <c r="L33" s="12" t="inlineStr">
        <is>
          <t>- Link acima</t>
        </is>
      </c>
      <c r="M33" s="12" t="str"/>
      <c r="N33" s="12" t="str"/>
      <c r="O33" s="12" t="str"/>
      <c r="P33" s="12" t="str"/>
      <c r="Q33" s="12" t="inlineStr">
        <is>
          <t>D_INTERACTIVE</t>
        </is>
      </c>
      <c r="R33" s="12" t="inlineStr">
        <is>
          <t>INPUT_RECEIVED</t>
        </is>
      </c>
      <c r="S33" s="12" t="inlineStr">
        <is>
          <t>BLOCKED</t>
        </is>
      </c>
      <c r="T33" s="12" t="inlineStr">
        <is>
          <t>NOT_SUBMITTED</t>
        </is>
      </c>
      <c r="U33" s="12" t="inlineStr">
        <is>
          <t>PENDING</t>
        </is>
      </c>
      <c r="V33" s="12" t="inlineStr">
        <is>
          <t>PENDING</t>
        </is>
      </c>
      <c r="W33" s="12" t="inlineStr">
        <is>
          <t>HIGH</t>
        </is>
      </c>
      <c r="X33" s="32" t="n">
        <v>46244</v>
      </c>
      <c r="Y33" s="12" t="str"/>
      <c r="Z33" s="12" t="inlineStr">
        <is>
          <t>Responsável não definido; Direcional/briefing ausente; Link de material ausente ou indireto; Link expirado</t>
        </is>
      </c>
      <c r="AA33" s="12" t="str"/>
    </row>
    <row r="34">
      <c r="A34" s="12" t="inlineStr">
        <is>
          <t>FT26-LED04_PAINEL_INTERATIVO-033</t>
        </is>
      </c>
      <c r="B34" s="12" t="inlineStr">
        <is>
          <t>LED04_PAINEL_INTERATIVO</t>
        </is>
      </c>
      <c r="C34" s="12" t="inlineStr">
        <is>
          <t>LED 4 — Painel Interativo</t>
        </is>
      </c>
      <c r="D34" s="12" t="n">
        <v>2</v>
      </c>
      <c r="E34" s="12" t="inlineStr">
        <is>
          <t>Nan Science PRO e APLV</t>
        </is>
      </c>
      <c r="F34" s="12" t="str"/>
      <c r="G34" s="12" t="str"/>
      <c r="H34" s="12" t="str"/>
      <c r="I34" s="12" t="str"/>
      <c r="J34" s="12" t="inlineStr">
        <is>
          <t>Enviado</t>
        </is>
      </c>
      <c r="K34" s="12" t="str"/>
      <c r="L34" s="12" t="inlineStr">
        <is>
          <t>https://www.dropbox.com/request/f7bs8vl2zotsxzp0cnzn</t>
        </is>
      </c>
      <c r="M34" s="12" t="str"/>
      <c r="N34" s="12" t="str"/>
      <c r="O34" s="12" t="str"/>
      <c r="P34" s="12" t="str"/>
      <c r="Q34" s="12" t="inlineStr">
        <is>
          <t>D_INTERACTIVE</t>
        </is>
      </c>
      <c r="R34" s="12" t="inlineStr">
        <is>
          <t>INPUT_RECEIVED</t>
        </is>
      </c>
      <c r="S34" s="12" t="inlineStr">
        <is>
          <t>BLOCKED</t>
        </is>
      </c>
      <c r="T34" s="12" t="inlineStr">
        <is>
          <t>NOT_SUBMITTED</t>
        </is>
      </c>
      <c r="U34" s="12" t="inlineStr">
        <is>
          <t>PENDING</t>
        </is>
      </c>
      <c r="V34" s="12" t="inlineStr">
        <is>
          <t>PENDING</t>
        </is>
      </c>
      <c r="W34" s="12" t="inlineStr">
        <is>
          <t>HIGH</t>
        </is>
      </c>
      <c r="X34" s="32" t="n">
        <v>46244</v>
      </c>
      <c r="Y34" s="12" t="str"/>
      <c r="Z34" s="12" t="inlineStr">
        <is>
          <t>Responsável não definido; Direcional/briefing ausente</t>
        </is>
      </c>
      <c r="AA34" s="12" t="str"/>
    </row>
    <row r="35">
      <c r="A35" s="12" t="inlineStr">
        <is>
          <t>FT26-LED04_PAINEL_INTERATIVO-034</t>
        </is>
      </c>
      <c r="B35" s="12" t="inlineStr">
        <is>
          <t>LED04_PAINEL_INTERATIVO</t>
        </is>
      </c>
      <c r="C35" s="12" t="inlineStr">
        <is>
          <t>LED 4 — Painel Interativo</t>
        </is>
      </c>
      <c r="D35" s="12" t="n">
        <v>3</v>
      </c>
      <c r="E35" s="12" t="inlineStr">
        <is>
          <t>Comfor</t>
        </is>
      </c>
      <c r="F35" s="12" t="str"/>
      <c r="G35" s="12" t="str"/>
      <c r="H35" s="12" t="inlineStr">
        <is>
          <t>https://nestle.sharepoint.com/teams/NINHOSHAREPOINT/Documentos%20Compartilhados/Forms/AllItems.aspx?id=%2Fteams%2FNINHOSHAREPOINT%2FDocumentos%20Compartilhados%2F13%2E%20FASES%2F%235%2E%20COMUNICA%C3%87%C3%83O%20%26%20M%C3%8DDIA%2F1%2B%20%2D%20LATAM%2FPE%C3%87AS%20FINAIS%2FC%C3%B3pias%2FC%C3%B3pias%2F30%27%27&amp;p=true&amp;ga=1</t>
        </is>
      </c>
      <c r="I35" s="12" t="str"/>
      <c r="J35" s="12" t="inlineStr">
        <is>
          <t>Enviado</t>
        </is>
      </c>
      <c r="K35" s="12" t="str"/>
      <c r="L35" s="12" t="inlineStr">
        <is>
          <t>- Link acima</t>
        </is>
      </c>
      <c r="M35" s="12" t="str"/>
      <c r="N35" s="12" t="str"/>
      <c r="O35" s="12" t="str"/>
      <c r="P35" s="12" t="str"/>
      <c r="Q35" s="12" t="inlineStr">
        <is>
          <t>D_INTERACTIVE</t>
        </is>
      </c>
      <c r="R35" s="12" t="inlineStr">
        <is>
          <t>INPUT_RECEIVED</t>
        </is>
      </c>
      <c r="S35" s="12" t="inlineStr">
        <is>
          <t>BLOCKED</t>
        </is>
      </c>
      <c r="T35" s="12" t="inlineStr">
        <is>
          <t>NOT_SUBMITTED</t>
        </is>
      </c>
      <c r="U35" s="12" t="inlineStr">
        <is>
          <t>PENDING</t>
        </is>
      </c>
      <c r="V35" s="12" t="inlineStr">
        <is>
          <t>PENDING</t>
        </is>
      </c>
      <c r="W35" s="12" t="inlineStr">
        <is>
          <t>HIGH</t>
        </is>
      </c>
      <c r="X35" s="32" t="n">
        <v>46244</v>
      </c>
      <c r="Y35" s="12" t="str"/>
      <c r="Z35" s="12" t="inlineStr">
        <is>
          <t>Responsável não definido; Direcional/briefing ausente; Link de material ausente ou indireto</t>
        </is>
      </c>
      <c r="AA35" s="12" t="str"/>
    </row>
    <row r="36">
      <c r="A36" s="12" t="inlineStr">
        <is>
          <t>FT26-LED04_PAINEL_INTERATIVO-035</t>
        </is>
      </c>
      <c r="B36" s="12" t="inlineStr">
        <is>
          <t>LED04_PAINEL_INTERATIVO</t>
        </is>
      </c>
      <c r="C36" s="12" t="inlineStr">
        <is>
          <t>LED 4 — Painel Interativo</t>
        </is>
      </c>
      <c r="D36" s="12" t="n">
        <v>4</v>
      </c>
      <c r="E36" s="12" t="inlineStr">
        <is>
          <t>Supreme</t>
        </is>
      </c>
      <c r="F36" s="12" t="str"/>
      <c r="G36" s="12" t="str"/>
      <c r="H36" s="12" t="inlineStr">
        <is>
          <t>https://nestle.sharepoint.com/teams/NINHOSHAREPOINT/Documentos%20Compartilhados/Forms/AllItems.aspx?id=%2Fteams%2FNINHOSHAREPOINT%2FDocumentos%20Compartilhados%2F13%2E%20FASES%2F%235%2E%20COMUNICA%C3%87%C3%83O%20%26%20M%C3%8DDIA%2F1%2B%20%2D%20LATAM%2FPE%C3%87AS%20FINAIS%2FC%C3%B3pias%2FC%C3%B3pias%2F30%27%27&amp;p=true&amp;ga=1</t>
        </is>
      </c>
      <c r="I36" s="12" t="str"/>
      <c r="J36" s="12" t="inlineStr">
        <is>
          <t>Não enviado</t>
        </is>
      </c>
      <c r="K36" s="12" t="str"/>
      <c r="L36" s="12" t="inlineStr">
        <is>
          <t>- Link acima</t>
        </is>
      </c>
      <c r="M36" s="12" t="str"/>
      <c r="N36" s="12" t="str"/>
      <c r="O36" s="12" t="str"/>
      <c r="P36" s="12" t="str"/>
      <c r="Q36" s="12" t="inlineStr">
        <is>
          <t>D_INTERACTIVE</t>
        </is>
      </c>
      <c r="R36" s="12" t="inlineStr">
        <is>
          <t>WAITING_INPUT</t>
        </is>
      </c>
      <c r="S36" s="12" t="inlineStr">
        <is>
          <t>BLOCKED</t>
        </is>
      </c>
      <c r="T36" s="12" t="inlineStr">
        <is>
          <t>NOT_SUBMITTED</t>
        </is>
      </c>
      <c r="U36" s="12" t="inlineStr">
        <is>
          <t>PENDING</t>
        </is>
      </c>
      <c r="V36" s="12" t="inlineStr">
        <is>
          <t>PENDING</t>
        </is>
      </c>
      <c r="W36" s="12" t="inlineStr">
        <is>
          <t>HIGH</t>
        </is>
      </c>
      <c r="X36" s="32" t="n">
        <v>46244</v>
      </c>
      <c r="Y36" s="12" t="str"/>
      <c r="Z36" s="12" t="inlineStr">
        <is>
          <t>Responsável não definido; Direcional/briefing ausente; Link de material ausente ou indireto</t>
        </is>
      </c>
      <c r="AA36" s="12" t="str"/>
    </row>
    <row r="37">
      <c r="A37" s="12" t="inlineStr">
        <is>
          <t>FT26-LED04_PAINEL_INTERATIVO-036</t>
        </is>
      </c>
      <c r="B37" s="12" t="inlineStr">
        <is>
          <t>LED04_PAINEL_INTERATIVO</t>
        </is>
      </c>
      <c r="C37" s="12" t="inlineStr">
        <is>
          <t>LED 4 — Painel Interativo</t>
        </is>
      </c>
      <c r="D37" s="12" t="n">
        <v>5</v>
      </c>
      <c r="E37" s="12" t="inlineStr">
        <is>
          <t>Ninho Fases 1+ e 3+</t>
        </is>
      </c>
      <c r="F37" s="12" t="str"/>
      <c r="G37" s="12" t="str"/>
      <c r="H37" s="12" t="str"/>
      <c r="I37" s="12" t="str"/>
      <c r="J37" s="12" t="inlineStr">
        <is>
          <t>Não enviado</t>
        </is>
      </c>
      <c r="K37" s="12" t="str"/>
      <c r="L37" s="12" t="inlineStr">
        <is>
          <t>- Link acima</t>
        </is>
      </c>
      <c r="M37" s="12" t="str"/>
      <c r="N37" s="12" t="str"/>
      <c r="O37" s="12" t="str"/>
      <c r="P37" s="12" t="str"/>
      <c r="Q37" s="12" t="inlineStr">
        <is>
          <t>D_INTERACTIVE</t>
        </is>
      </c>
      <c r="R37" s="12" t="inlineStr">
        <is>
          <t>WAITING_INPUT</t>
        </is>
      </c>
      <c r="S37" s="12" t="inlineStr">
        <is>
          <t>BLOCKED</t>
        </is>
      </c>
      <c r="T37" s="12" t="inlineStr">
        <is>
          <t>NOT_SUBMITTED</t>
        </is>
      </c>
      <c r="U37" s="12" t="inlineStr">
        <is>
          <t>PENDING</t>
        </is>
      </c>
      <c r="V37" s="12" t="inlineStr">
        <is>
          <t>PENDING</t>
        </is>
      </c>
      <c r="W37" s="12" t="inlineStr">
        <is>
          <t>HIGH</t>
        </is>
      </c>
      <c r="X37" s="32" t="n">
        <v>46244</v>
      </c>
      <c r="Y37" s="12" t="str"/>
      <c r="Z37" s="12" t="inlineStr">
        <is>
          <t>Responsável não definido; Direcional/briefing ausente; Link de material ausente ou indireto</t>
        </is>
      </c>
      <c r="AA37" s="12" t="str"/>
    </row>
    <row r="38">
      <c r="A38" s="12" t="inlineStr">
        <is>
          <t>FT26-LED04_PAINEL_INTERATIVO-037</t>
        </is>
      </c>
      <c r="B38" s="12" t="inlineStr">
        <is>
          <t>LED04_PAINEL_INTERATIVO</t>
        </is>
      </c>
      <c r="C38" s="12" t="inlineStr">
        <is>
          <t>LED 4 — Painel Interativo</t>
        </is>
      </c>
      <c r="D38" s="12" t="n">
        <v>6</v>
      </c>
      <c r="E38" s="12" t="inlineStr">
        <is>
          <t>Vital</t>
        </is>
      </c>
      <c r="F38" s="12" t="str"/>
      <c r="G38" s="12" t="str"/>
      <c r="H38" s="12" t="str"/>
      <c r="I38" s="12" t="str"/>
      <c r="J38" s="12" t="inlineStr">
        <is>
          <t>Enviado</t>
        </is>
      </c>
      <c r="K38" s="12" t="str"/>
      <c r="L38" s="12" t="inlineStr">
        <is>
          <t>- Link acima</t>
        </is>
      </c>
      <c r="M38" s="12" t="str"/>
      <c r="N38" s="12" t="str"/>
      <c r="O38" s="12" t="str"/>
      <c r="P38" s="12" t="str"/>
      <c r="Q38" s="12" t="inlineStr">
        <is>
          <t>D_INTERACTIVE</t>
        </is>
      </c>
      <c r="R38" s="12" t="inlineStr">
        <is>
          <t>INPUT_RECEIVED</t>
        </is>
      </c>
      <c r="S38" s="12" t="inlineStr">
        <is>
          <t>BLOCKED</t>
        </is>
      </c>
      <c r="T38" s="12" t="inlineStr">
        <is>
          <t>NOT_SUBMITTED</t>
        </is>
      </c>
      <c r="U38" s="12" t="inlineStr">
        <is>
          <t>PENDING</t>
        </is>
      </c>
      <c r="V38" s="12" t="inlineStr">
        <is>
          <t>PENDING</t>
        </is>
      </c>
      <c r="W38" s="12" t="inlineStr">
        <is>
          <t>HIGH</t>
        </is>
      </c>
      <c r="X38" s="32" t="n">
        <v>46244</v>
      </c>
      <c r="Y38" s="12" t="str"/>
      <c r="Z38" s="12" t="inlineStr">
        <is>
          <t>Responsável não definido; Direcional/briefing ausente; Link de material ausente ou indireto</t>
        </is>
      </c>
      <c r="AA38" s="12" t="str"/>
    </row>
    <row r="39">
      <c r="A39" s="12" t="inlineStr">
        <is>
          <t>FT26-LED04_PAINEL_INTERATIVO-038</t>
        </is>
      </c>
      <c r="B39" s="12" t="inlineStr">
        <is>
          <t>LED04_PAINEL_INTERATIVO</t>
        </is>
      </c>
      <c r="C39" s="12" t="inlineStr">
        <is>
          <t>LED 4 — Painel Interativo</t>
        </is>
      </c>
      <c r="D39" s="12" t="n">
        <v>7</v>
      </c>
      <c r="E39" s="12" t="inlineStr">
        <is>
          <t>Nutren Protein e Nutren Creatina</t>
        </is>
      </c>
      <c r="F39" s="12" t="str"/>
      <c r="G39" s="12" t="str"/>
      <c r="H39" s="12" t="str"/>
      <c r="I39" s="12" t="str"/>
      <c r="J39" s="12" t="inlineStr">
        <is>
          <t>Não enviado</t>
        </is>
      </c>
      <c r="K39" s="12" t="str"/>
      <c r="L39" s="12" t="inlineStr">
        <is>
          <t>- Link acima</t>
        </is>
      </c>
      <c r="M39" s="12" t="str"/>
      <c r="N39" s="12" t="str"/>
      <c r="O39" s="12" t="str"/>
      <c r="P39" s="12" t="str"/>
      <c r="Q39" s="12" t="inlineStr">
        <is>
          <t>D_INTERACTIVE</t>
        </is>
      </c>
      <c r="R39" s="12" t="inlineStr">
        <is>
          <t>WAITING_INPUT</t>
        </is>
      </c>
      <c r="S39" s="12" t="inlineStr">
        <is>
          <t>BLOCKED</t>
        </is>
      </c>
      <c r="T39" s="12" t="inlineStr">
        <is>
          <t>NOT_SUBMITTED</t>
        </is>
      </c>
      <c r="U39" s="12" t="inlineStr">
        <is>
          <t>PENDING</t>
        </is>
      </c>
      <c r="V39" s="12" t="inlineStr">
        <is>
          <t>PENDING</t>
        </is>
      </c>
      <c r="W39" s="12" t="inlineStr">
        <is>
          <t>HIGH</t>
        </is>
      </c>
      <c r="X39" s="32" t="n">
        <v>46244</v>
      </c>
      <c r="Y39" s="12" t="str"/>
      <c r="Z39" s="12" t="inlineStr">
        <is>
          <t>Responsável não definido; Direcional/briefing ausente; Link de material ausente ou indireto</t>
        </is>
      </c>
      <c r="AA39" s="12" t="str"/>
    </row>
    <row r="40">
      <c r="A40" s="12" t="inlineStr">
        <is>
          <t>FT26-LED04_PAINEL_INTERATIVO-039</t>
        </is>
      </c>
      <c r="B40" s="12" t="inlineStr">
        <is>
          <t>LED04_PAINEL_INTERATIVO</t>
        </is>
      </c>
      <c r="C40" s="12" t="inlineStr">
        <is>
          <t>LED 4 — Painel Interativo</t>
        </is>
      </c>
      <c r="D40" s="12" t="n">
        <v>8</v>
      </c>
      <c r="E40" s="12" t="inlineStr">
        <is>
          <t>Whey Protein Puravida</t>
        </is>
      </c>
      <c r="F40" s="12" t="str"/>
      <c r="G40" s="12" t="str"/>
      <c r="H40" s="12" t="str"/>
      <c r="I40" s="12" t="str"/>
      <c r="J40" s="12" t="inlineStr">
        <is>
          <t>Enviado</t>
        </is>
      </c>
      <c r="K40" s="12" t="str"/>
      <c r="L40" s="12" t="inlineStr">
        <is>
          <t>- Link acima</t>
        </is>
      </c>
      <c r="M40" s="12" t="str"/>
      <c r="N40" s="12" t="str"/>
      <c r="O40" s="12" t="str"/>
      <c r="P40" s="12" t="str"/>
      <c r="Q40" s="12" t="inlineStr">
        <is>
          <t>D_INTERACTIVE</t>
        </is>
      </c>
      <c r="R40" s="12" t="inlineStr">
        <is>
          <t>INPUT_RECEIVED</t>
        </is>
      </c>
      <c r="S40" s="12" t="inlineStr">
        <is>
          <t>BLOCKED</t>
        </is>
      </c>
      <c r="T40" s="12" t="inlineStr">
        <is>
          <t>NOT_SUBMITTED</t>
        </is>
      </c>
      <c r="U40" s="12" t="inlineStr">
        <is>
          <t>PENDING</t>
        </is>
      </c>
      <c r="V40" s="12" t="inlineStr">
        <is>
          <t>PENDING</t>
        </is>
      </c>
      <c r="W40" s="12" t="inlineStr">
        <is>
          <t>HIGH</t>
        </is>
      </c>
      <c r="X40" s="32" t="n">
        <v>46244</v>
      </c>
      <c r="Y40" s="12" t="str"/>
      <c r="Z40" s="12" t="inlineStr">
        <is>
          <t>Responsável não definido; Direcional/briefing ausente; Link de material ausente ou indireto</t>
        </is>
      </c>
      <c r="AA40" s="12" t="str"/>
    </row>
    <row r="41">
      <c r="A41" s="12" t="inlineStr">
        <is>
          <t>FT26-LED04_PAINEL_INTERATIVO-040</t>
        </is>
      </c>
      <c r="B41" s="12" t="inlineStr">
        <is>
          <t>LED04_PAINEL_INTERATIVO</t>
        </is>
      </c>
      <c r="C41" s="12" t="inlineStr">
        <is>
          <t>LED 4 — Painel Interativo</t>
        </is>
      </c>
      <c r="D41" s="12" t="n">
        <v>9</v>
      </c>
      <c r="E41" s="12" t="inlineStr">
        <is>
          <t>Nutren Sênior</t>
        </is>
      </c>
      <c r="F41" s="12" t="str"/>
      <c r="G41" s="12" t="str"/>
      <c r="H41" s="12" t="str"/>
      <c r="I41" s="12" t="str"/>
      <c r="J41" s="12" t="inlineStr">
        <is>
          <t>Enviado</t>
        </is>
      </c>
      <c r="K41" s="12" t="str"/>
      <c r="L41" s="12" t="inlineStr">
        <is>
          <t>- Link acima</t>
        </is>
      </c>
      <c r="M41" s="12" t="str"/>
      <c r="N41" s="12" t="str"/>
      <c r="O41" s="12" t="str"/>
      <c r="P41" s="12" t="str"/>
      <c r="Q41" s="12" t="inlineStr">
        <is>
          <t>D_INTERACTIVE</t>
        </is>
      </c>
      <c r="R41" s="12" t="inlineStr">
        <is>
          <t>INPUT_RECEIVED</t>
        </is>
      </c>
      <c r="S41" s="12" t="inlineStr">
        <is>
          <t>BLOCKED</t>
        </is>
      </c>
      <c r="T41" s="12" t="inlineStr">
        <is>
          <t>NOT_SUBMITTED</t>
        </is>
      </c>
      <c r="U41" s="12" t="inlineStr">
        <is>
          <t>PENDING</t>
        </is>
      </c>
      <c r="V41" s="12" t="inlineStr">
        <is>
          <t>PENDING</t>
        </is>
      </c>
      <c r="W41" s="12" t="inlineStr">
        <is>
          <t>HIGH</t>
        </is>
      </c>
      <c r="X41" s="32" t="n">
        <v>46244</v>
      </c>
      <c r="Y41" s="12" t="str"/>
      <c r="Z41" s="12" t="inlineStr">
        <is>
          <t>Responsável não definido; Direcional/briefing ausente; Link de material ausente ou indireto</t>
        </is>
      </c>
      <c r="AA41" s="12" t="str"/>
    </row>
    <row r="42">
      <c r="A42" s="12" t="inlineStr">
        <is>
          <t>FT26-LEDS_GONDOLAS-041</t>
        </is>
      </c>
      <c r="B42" s="12" t="inlineStr">
        <is>
          <t>LEDS_GONDOLAS</t>
        </is>
      </c>
      <c r="C42" s="12" t="inlineStr">
        <is>
          <t>LEDs de Gôndolas</t>
        </is>
      </c>
      <c r="D42" s="12" t="n">
        <v>1</v>
      </c>
      <c r="E42" s="12" t="inlineStr">
        <is>
          <t>Materna</t>
        </is>
      </c>
      <c r="F42" s="12" t="str"/>
      <c r="G42" s="12" t="str"/>
      <c r="H42" s="12" t="str"/>
      <c r="I42" s="12" t="str"/>
      <c r="J42" s="12" t="str"/>
      <c r="K42" s="12" t="str"/>
      <c r="L42" s="12" t="inlineStr">
        <is>
          <t>- Link acima</t>
        </is>
      </c>
      <c r="M42" s="12" t="str"/>
      <c r="N42" s="12" t="str"/>
      <c r="O42" s="12" t="str"/>
      <c r="P42" s="12" t="str"/>
      <c r="Q42" s="12" t="inlineStr">
        <is>
          <t>B_MOTION_KV</t>
        </is>
      </c>
      <c r="R42" s="12" t="inlineStr">
        <is>
          <t>NEEDS_TRIAGE</t>
        </is>
      </c>
      <c r="S42" s="12" t="inlineStr">
        <is>
          <t>BLOCKED</t>
        </is>
      </c>
      <c r="T42" s="12" t="inlineStr">
        <is>
          <t>NOT_SUBMITTED</t>
        </is>
      </c>
      <c r="U42" s="12" t="inlineStr">
        <is>
          <t>PENDING</t>
        </is>
      </c>
      <c r="V42" s="12" t="inlineStr">
        <is>
          <t>PENDING</t>
        </is>
      </c>
      <c r="W42" s="12" t="inlineStr">
        <is>
          <t>HIGH</t>
        </is>
      </c>
      <c r="X42" s="32" t="n">
        <v>46244</v>
      </c>
      <c r="Y42" s="12" t="str"/>
      <c r="Z42" s="12" t="inlineStr">
        <is>
          <t>Responsável não definido; Direcional/briefing ausente; Link de material ausente ou indireto</t>
        </is>
      </c>
      <c r="AA42" s="12" t="str"/>
    </row>
    <row r="43">
      <c r="A43" s="12" t="inlineStr">
        <is>
          <t>FT26-LEDS_GONDOLAS-042</t>
        </is>
      </c>
      <c r="B43" s="12" t="inlineStr">
        <is>
          <t>LEDS_GONDOLAS</t>
        </is>
      </c>
      <c r="C43" s="12" t="inlineStr">
        <is>
          <t>LEDs de Gôndolas</t>
        </is>
      </c>
      <c r="D43" s="12" t="n">
        <v>2</v>
      </c>
      <c r="E43" s="12" t="inlineStr">
        <is>
          <t>Nutren Vitaminas</t>
        </is>
      </c>
      <c r="F43" s="12" t="str"/>
      <c r="G43" s="12" t="str"/>
      <c r="H43" s="12" t="str"/>
      <c r="I43" s="12" t="inlineStr">
        <is>
          <t>Adaptar vídeo da linha AZ 2025 com atualização de identidade visual, packshots e mesnagem final da campanha.</t>
        </is>
      </c>
      <c r="J43" s="12" t="str"/>
      <c r="K43" s="12" t="str"/>
      <c r="L43" s="12" t="inlineStr">
        <is>
          <t>- Link acima</t>
        </is>
      </c>
      <c r="M43" s="12" t="str"/>
      <c r="N43" s="12" t="str"/>
      <c r="O43" s="12" t="str"/>
      <c r="P43" s="12" t="str"/>
      <c r="Q43" s="12" t="inlineStr">
        <is>
          <t>A_ADAPTATION</t>
        </is>
      </c>
      <c r="R43" s="12" t="inlineStr">
        <is>
          <t>PARTIAL_INPUT</t>
        </is>
      </c>
      <c r="S43" s="12" t="inlineStr">
        <is>
          <t>BLOCKED</t>
        </is>
      </c>
      <c r="T43" s="12" t="inlineStr">
        <is>
          <t>NOT_SUBMITTED</t>
        </is>
      </c>
      <c r="U43" s="12" t="inlineStr">
        <is>
          <t>PENDING</t>
        </is>
      </c>
      <c r="V43" s="12" t="inlineStr">
        <is>
          <t>PENDING</t>
        </is>
      </c>
      <c r="W43" s="12" t="inlineStr">
        <is>
          <t>HIGH</t>
        </is>
      </c>
      <c r="X43" s="32" t="n">
        <v>46244</v>
      </c>
      <c r="Y43" s="12" t="str"/>
      <c r="Z43" s="12" t="inlineStr">
        <is>
          <t>Responsável não definido; Link de material ausente ou indireto</t>
        </is>
      </c>
      <c r="AA43" s="12" t="str"/>
    </row>
    <row r="44">
      <c r="A44" s="12" t="inlineStr">
        <is>
          <t>FT26-LEDS_GONDOLAS-043</t>
        </is>
      </c>
      <c r="B44" s="12" t="inlineStr">
        <is>
          <t>LEDS_GONDOLAS</t>
        </is>
      </c>
      <c r="C44" s="12" t="inlineStr">
        <is>
          <t>LEDs de Gôndolas</t>
        </is>
      </c>
      <c r="D44" s="12" t="n">
        <v>3</v>
      </c>
      <c r="E44" s="12" t="inlineStr">
        <is>
          <t>Fiber Mais</t>
        </is>
      </c>
      <c r="F44" s="12" t="str"/>
      <c r="G44" s="12" t="str"/>
      <c r="H44" s="12" t="str"/>
      <c r="I44" s="12" t="str"/>
      <c r="J44" s="12" t="str"/>
      <c r="K44" s="12" t="str"/>
      <c r="L44" s="12" t="inlineStr">
        <is>
          <t>https://www.dropbox.com/request/xdzz09fqqckvszwabmz0</t>
        </is>
      </c>
      <c r="M44" s="12" t="str"/>
      <c r="N44" s="12" t="str"/>
      <c r="O44" s="12" t="str"/>
      <c r="P44" s="12" t="str"/>
      <c r="Q44" s="12" t="inlineStr">
        <is>
          <t>B_MOTION_KV</t>
        </is>
      </c>
      <c r="R44" s="12" t="inlineStr">
        <is>
          <t>PARTIAL_INPUT</t>
        </is>
      </c>
      <c r="S44" s="12" t="inlineStr">
        <is>
          <t>BLOCKED</t>
        </is>
      </c>
      <c r="T44" s="12" t="inlineStr">
        <is>
          <t>NOT_SUBMITTED</t>
        </is>
      </c>
      <c r="U44" s="12" t="inlineStr">
        <is>
          <t>PENDING</t>
        </is>
      </c>
      <c r="V44" s="12" t="inlineStr">
        <is>
          <t>PENDING</t>
        </is>
      </c>
      <c r="W44" s="12" t="inlineStr">
        <is>
          <t>HIGH</t>
        </is>
      </c>
      <c r="X44" s="32" t="n">
        <v>46244</v>
      </c>
      <c r="Y44" s="12" t="str"/>
      <c r="Z44" s="12" t="inlineStr">
        <is>
          <t>Responsável não definido; Direcional/briefing ausente</t>
        </is>
      </c>
      <c r="AA44" s="12" t="str"/>
    </row>
    <row r="45">
      <c r="A45" s="12" t="inlineStr">
        <is>
          <t>FT26-LEDS_GONDOLAS-044</t>
        </is>
      </c>
      <c r="B45" s="12" t="inlineStr">
        <is>
          <t>LEDS_GONDOLAS</t>
        </is>
      </c>
      <c r="C45" s="12" t="inlineStr">
        <is>
          <t>LEDs de Gôndolas</t>
        </is>
      </c>
      <c r="D45" s="12" t="n">
        <v>4</v>
      </c>
      <c r="E45" s="12" t="inlineStr">
        <is>
          <t>Nanlac Supreme Pro</t>
        </is>
      </c>
      <c r="F45" s="12" t="inlineStr">
        <is>
          <t>Thais Griffel</t>
        </is>
      </c>
      <c r="G45" s="12" t="str"/>
      <c r="H45" s="12" t="inlineStr">
        <is>
          <t>https://nestle.sharepoint.com/teams/Marketing-IFGUMs/Documentos%20Compartilhados/Forms/AllItems.aspx?id=%2Fteams%2FMarketing%2DIFGUMs%2FDocumentos%20Compartilhados%2F2026%2FMARCAS%2FNAN%2F02%2E%20COMUNICA%C3%87%C3%83O%20CONSUMIDOR%2FMom%20Science%20%2D%20Nanlac%20Science%2FPe%C3%A7as%2FPE%C3%87AS%20PSD%20ALTA%2FABRAFARMA%2FNestle%5FNANLAC%5FImmunity%20Rain%5FYoutube%20%26%20Equativ%5F%5F%5F%2816x9%29%5F15seg%20carpeta%2Ezip&amp;parent=%2Fteams%2FMarketing%2DIFGUMs%2FDocumentos%20Compartilhados%2F2026%2FMARCAS%2FNAN%2F02%2E%20COMUNICA%C3%87%C3%83O%20CONSUMIDOR%2FMom%20Science%20%2D%20Nanlac%20Science%2FPe%C3%A7as%2FPE%C3%87AS%20PSD%20ALTA%2FABRAFARMA&amp;p=true&amp;ga=1</t>
        </is>
      </c>
      <c r="I45" s="12" t="str"/>
      <c r="J45" s="12" t="inlineStr">
        <is>
          <t>Feito</t>
        </is>
      </c>
      <c r="K45" s="12" t="str"/>
      <c r="L45" s="12" t="inlineStr">
        <is>
          <t>- Link acima</t>
        </is>
      </c>
      <c r="M45" s="12" t="str"/>
      <c r="N45" s="12" t="str"/>
      <c r="O45" s="12" t="str"/>
      <c r="P45" s="12" t="str"/>
      <c r="Q45" s="12" t="inlineStr">
        <is>
          <t>B_MOTION_KV</t>
        </is>
      </c>
      <c r="R45" s="12" t="inlineStr">
        <is>
          <t>INPUT_READY</t>
        </is>
      </c>
      <c r="S45" s="12" t="inlineStr">
        <is>
          <t>BLOCKED</t>
        </is>
      </c>
      <c r="T45" s="12" t="inlineStr">
        <is>
          <t>NOT_SUBMITTED</t>
        </is>
      </c>
      <c r="U45" s="12" t="inlineStr">
        <is>
          <t>PENDING</t>
        </is>
      </c>
      <c r="V45" s="12" t="inlineStr">
        <is>
          <t>PENDING</t>
        </is>
      </c>
      <c r="W45" s="12" t="inlineStr">
        <is>
          <t>HIGH</t>
        </is>
      </c>
      <c r="X45" s="32" t="n">
        <v>46244</v>
      </c>
      <c r="Y45" s="12" t="str"/>
      <c r="Z45" s="12" t="inlineStr">
        <is>
          <t>Direcional/briefing ausente; Link de material ausente ou indireto</t>
        </is>
      </c>
      <c r="AA45" s="12" t="str"/>
    </row>
    <row r="46">
      <c r="A46" s="12" t="inlineStr">
        <is>
          <t>FT26-LEDS_GONDOLAS-045</t>
        </is>
      </c>
      <c r="B46" s="12" t="inlineStr">
        <is>
          <t>LEDS_GONDOLAS</t>
        </is>
      </c>
      <c r="C46" s="12" t="inlineStr">
        <is>
          <t>LEDs de Gôndolas</t>
        </is>
      </c>
      <c r="D46" s="12" t="n">
        <v>5</v>
      </c>
      <c r="E46" s="12" t="inlineStr">
        <is>
          <t>Nanlac Comfor</t>
        </is>
      </c>
      <c r="F46" s="12" t="inlineStr">
        <is>
          <t>Thais Griffel</t>
        </is>
      </c>
      <c r="G46" s="12" t="str"/>
      <c r="H46" s="12" t="str"/>
      <c r="I46" s="12" t="str"/>
      <c r="J46" s="12" t="inlineStr">
        <is>
          <t>Feito</t>
        </is>
      </c>
      <c r="K46" s="12" t="str"/>
      <c r="L46" s="12" t="inlineStr">
        <is>
          <t>- Link acima</t>
        </is>
      </c>
      <c r="M46" s="12" t="str"/>
      <c r="N46" s="12" t="str"/>
      <c r="O46" s="12" t="str"/>
      <c r="P46" s="12" t="str"/>
      <c r="Q46" s="12" t="inlineStr">
        <is>
          <t>B_MOTION_KV</t>
        </is>
      </c>
      <c r="R46" s="12" t="inlineStr">
        <is>
          <t>INPUT_READY</t>
        </is>
      </c>
      <c r="S46" s="12" t="inlineStr">
        <is>
          <t>BLOCKED</t>
        </is>
      </c>
      <c r="T46" s="12" t="inlineStr">
        <is>
          <t>NOT_SUBMITTED</t>
        </is>
      </c>
      <c r="U46" s="12" t="inlineStr">
        <is>
          <t>PENDING</t>
        </is>
      </c>
      <c r="V46" s="12" t="inlineStr">
        <is>
          <t>PENDING</t>
        </is>
      </c>
      <c r="W46" s="12" t="inlineStr">
        <is>
          <t>HIGH</t>
        </is>
      </c>
      <c r="X46" s="32" t="n">
        <v>46244</v>
      </c>
      <c r="Y46" s="12" t="str"/>
      <c r="Z46" s="12" t="inlineStr">
        <is>
          <t>Direcional/briefing ausente; Link de material ausente ou indireto</t>
        </is>
      </c>
      <c r="AA46" s="12" t="str"/>
    </row>
    <row r="47">
      <c r="A47" s="12" t="inlineStr">
        <is>
          <t>FT26-LEDS_GONDOLAS-046</t>
        </is>
      </c>
      <c r="B47" s="12" t="inlineStr">
        <is>
          <t>LEDS_GONDOLAS</t>
        </is>
      </c>
      <c r="C47" s="12" t="inlineStr">
        <is>
          <t>LEDs de Gôndolas</t>
        </is>
      </c>
      <c r="D47" s="12" t="n">
        <v>6</v>
      </c>
      <c r="E47" s="12" t="inlineStr">
        <is>
          <t>Nestogeno e Nestonutri</t>
        </is>
      </c>
      <c r="F47" s="12" t="str"/>
      <c r="G47" s="12" t="str"/>
      <c r="H47" s="12" t="str"/>
      <c r="I47" s="12" t="str"/>
      <c r="J47" s="12" t="str"/>
      <c r="K47" s="12" t="str"/>
      <c r="L47" s="12" t="inlineStr">
        <is>
          <t>- Link acima</t>
        </is>
      </c>
      <c r="M47" s="12" t="str"/>
      <c r="N47" s="12" t="str"/>
      <c r="O47" s="12" t="str"/>
      <c r="P47" s="12" t="str"/>
      <c r="Q47" s="12" t="inlineStr">
        <is>
          <t>B_MOTION_KV</t>
        </is>
      </c>
      <c r="R47" s="12" t="inlineStr">
        <is>
          <t>NEEDS_TRIAGE</t>
        </is>
      </c>
      <c r="S47" s="12" t="inlineStr">
        <is>
          <t>BLOCKED</t>
        </is>
      </c>
      <c r="T47" s="12" t="inlineStr">
        <is>
          <t>NOT_SUBMITTED</t>
        </is>
      </c>
      <c r="U47" s="12" t="inlineStr">
        <is>
          <t>PENDING</t>
        </is>
      </c>
      <c r="V47" s="12" t="inlineStr">
        <is>
          <t>PENDING</t>
        </is>
      </c>
      <c r="W47" s="12" t="inlineStr">
        <is>
          <t>HIGH</t>
        </is>
      </c>
      <c r="X47" s="32" t="n">
        <v>46244</v>
      </c>
      <c r="Y47" s="12" t="str"/>
      <c r="Z47" s="12" t="inlineStr">
        <is>
          <t>Responsável não definido; Direcional/briefing ausente; Link de material ausente ou indireto</t>
        </is>
      </c>
      <c r="AA47" s="12" t="str"/>
    </row>
    <row r="48">
      <c r="A48" s="12" t="inlineStr">
        <is>
          <t>FT26-LEDS_GONDOLAS-047</t>
        </is>
      </c>
      <c r="B48" s="12" t="inlineStr">
        <is>
          <t>LEDS_GONDOLAS</t>
        </is>
      </c>
      <c r="C48" s="12" t="inlineStr">
        <is>
          <t>LEDs de Gôndolas</t>
        </is>
      </c>
      <c r="D48" s="12" t="n">
        <v>7</v>
      </c>
      <c r="E48" s="12" t="inlineStr">
        <is>
          <t>Nescafé Pró Energy</t>
        </is>
      </c>
      <c r="F48" s="12" t="str"/>
      <c r="G48" s="12" t="str"/>
      <c r="H48" s="12" t="str"/>
      <c r="I48" s="12" t="str"/>
      <c r="J48" s="12" t="str"/>
      <c r="K48" s="12" t="str"/>
      <c r="L48" s="12" t="inlineStr">
        <is>
          <t>- Link acima</t>
        </is>
      </c>
      <c r="M48" s="12" t="str"/>
      <c r="N48" s="12" t="str"/>
      <c r="O48" s="12" t="str"/>
      <c r="P48" s="12" t="str"/>
      <c r="Q48" s="12" t="inlineStr">
        <is>
          <t>B_MOTION_KV</t>
        </is>
      </c>
      <c r="R48" s="12" t="inlineStr">
        <is>
          <t>NEEDS_TRIAGE</t>
        </is>
      </c>
      <c r="S48" s="12" t="inlineStr">
        <is>
          <t>BLOCKED</t>
        </is>
      </c>
      <c r="T48" s="12" t="inlineStr">
        <is>
          <t>NOT_SUBMITTED</t>
        </is>
      </c>
      <c r="U48" s="12" t="inlineStr">
        <is>
          <t>PENDING</t>
        </is>
      </c>
      <c r="V48" s="12" t="inlineStr">
        <is>
          <t>PENDING</t>
        </is>
      </c>
      <c r="W48" s="12" t="inlineStr">
        <is>
          <t>HIGH</t>
        </is>
      </c>
      <c r="X48" s="32" t="n">
        <v>46244</v>
      </c>
      <c r="Y48" s="12" t="str"/>
      <c r="Z48" s="12" t="inlineStr">
        <is>
          <t>Responsável não definido; Direcional/briefing ausente; Link de material ausente ou indireto</t>
        </is>
      </c>
      <c r="AA48" s="12" t="str"/>
    </row>
    <row r="49">
      <c r="A49" s="12" t="inlineStr">
        <is>
          <t>FT26-LEDS_GONDOLAS-048</t>
        </is>
      </c>
      <c r="B49" s="12" t="inlineStr">
        <is>
          <t>LEDS_GONDOLAS</t>
        </is>
      </c>
      <c r="C49" s="12" t="inlineStr">
        <is>
          <t>LEDs de Gôndolas</t>
        </is>
      </c>
      <c r="D49" s="12" t="n">
        <v>8</v>
      </c>
      <c r="E49" s="12" t="inlineStr">
        <is>
          <t>Nescau Protein</t>
        </is>
      </c>
      <c r="F49" s="12" t="str"/>
      <c r="G49" s="12" t="str"/>
      <c r="H49" s="12" t="str"/>
      <c r="I49" s="12" t="str"/>
      <c r="J49" s="12" t="str"/>
      <c r="K49" s="12" t="str"/>
      <c r="L49" s="12" t="inlineStr">
        <is>
          <t>- Link acima</t>
        </is>
      </c>
      <c r="M49" s="12" t="str"/>
      <c r="N49" s="12" t="str"/>
      <c r="O49" s="12" t="str"/>
      <c r="P49" s="12" t="str"/>
      <c r="Q49" s="12" t="inlineStr">
        <is>
          <t>B_MOTION_KV</t>
        </is>
      </c>
      <c r="R49" s="12" t="inlineStr">
        <is>
          <t>NEEDS_TRIAGE</t>
        </is>
      </c>
      <c r="S49" s="12" t="inlineStr">
        <is>
          <t>BLOCKED</t>
        </is>
      </c>
      <c r="T49" s="12" t="inlineStr">
        <is>
          <t>NOT_SUBMITTED</t>
        </is>
      </c>
      <c r="U49" s="12" t="inlineStr">
        <is>
          <t>PENDING</t>
        </is>
      </c>
      <c r="V49" s="12" t="inlineStr">
        <is>
          <t>PENDING</t>
        </is>
      </c>
      <c r="W49" s="12" t="inlineStr">
        <is>
          <t>HIGH</t>
        </is>
      </c>
      <c r="X49" s="32" t="n">
        <v>46244</v>
      </c>
      <c r="Y49" s="12" t="str"/>
      <c r="Z49" s="12" t="inlineStr">
        <is>
          <t>Responsável não definido; Direcional/briefing ausente; Link de material ausente ou indireto</t>
        </is>
      </c>
      <c r="AA49" s="12" t="str"/>
    </row>
    <row r="50">
      <c r="A50" s="12" t="inlineStr">
        <is>
          <t>FT26-LEDS_GONDOLAS-049</t>
        </is>
      </c>
      <c r="B50" s="12" t="inlineStr">
        <is>
          <t>LEDS_GONDOLAS</t>
        </is>
      </c>
      <c r="C50" s="12" t="inlineStr">
        <is>
          <t>LEDs de Gôndolas</t>
        </is>
      </c>
      <c r="D50" s="12" t="n">
        <v>9</v>
      </c>
      <c r="E50" s="12" t="inlineStr">
        <is>
          <t>Aveias</t>
        </is>
      </c>
      <c r="F50" s="12" t="str"/>
      <c r="G50" s="12" t="str"/>
      <c r="H50" s="12" t="str"/>
      <c r="I50" s="12" t="str"/>
      <c r="J50" s="12" t="str"/>
      <c r="K50" s="12" t="str"/>
      <c r="L50" s="12" t="inlineStr">
        <is>
          <t>https://www.dropbox.com/request/vwk0h4sghrzeyynk74cx</t>
        </is>
      </c>
      <c r="M50" s="12" t="str"/>
      <c r="N50" s="12" t="str"/>
      <c r="O50" s="12" t="str"/>
      <c r="P50" s="12" t="str"/>
      <c r="Q50" s="12" t="inlineStr">
        <is>
          <t>B_MOTION_KV</t>
        </is>
      </c>
      <c r="R50" s="12" t="inlineStr">
        <is>
          <t>PARTIAL_INPUT</t>
        </is>
      </c>
      <c r="S50" s="12" t="inlineStr">
        <is>
          <t>BLOCKED</t>
        </is>
      </c>
      <c r="T50" s="12" t="inlineStr">
        <is>
          <t>NOT_SUBMITTED</t>
        </is>
      </c>
      <c r="U50" s="12" t="inlineStr">
        <is>
          <t>PENDING</t>
        </is>
      </c>
      <c r="V50" s="12" t="inlineStr">
        <is>
          <t>PENDING</t>
        </is>
      </c>
      <c r="W50" s="12" t="inlineStr">
        <is>
          <t>HIGH</t>
        </is>
      </c>
      <c r="X50" s="32" t="n">
        <v>46244</v>
      </c>
      <c r="Y50" s="12" t="str"/>
      <c r="Z50" s="12" t="inlineStr">
        <is>
          <t>Responsável não definido; Direcional/briefing ausente</t>
        </is>
      </c>
      <c r="AA50" s="12" t="str"/>
    </row>
    <row r="51">
      <c r="A51" s="12" t="inlineStr">
        <is>
          <t>FT26-LEDS_GONDOLAS-050</t>
        </is>
      </c>
      <c r="B51" s="12" t="inlineStr">
        <is>
          <t>LEDS_GONDOLAS</t>
        </is>
      </c>
      <c r="C51" s="12" t="inlineStr">
        <is>
          <t>LEDs de Gôndolas</t>
        </is>
      </c>
      <c r="D51" s="12" t="n">
        <v>10</v>
      </c>
      <c r="E51" s="12" t="inlineStr">
        <is>
          <t>Puravida</t>
        </is>
      </c>
      <c r="F51" s="12" t="str"/>
      <c r="G51" s="12" t="str"/>
      <c r="H51" s="12" t="str"/>
      <c r="I51" s="12" t="str"/>
      <c r="J51" s="12" t="inlineStr">
        <is>
          <t>Feito</t>
        </is>
      </c>
      <c r="K51" s="12" t="str"/>
      <c r="L51" s="12" t="inlineStr">
        <is>
          <t>- Link acima</t>
        </is>
      </c>
      <c r="M51" s="12" t="str"/>
      <c r="N51" s="12" t="str"/>
      <c r="O51" s="12" t="str"/>
      <c r="P51" s="12" t="str"/>
      <c r="Q51" s="12" t="inlineStr">
        <is>
          <t>B_MOTION_KV</t>
        </is>
      </c>
      <c r="R51" s="12" t="inlineStr">
        <is>
          <t>INPUT_READY</t>
        </is>
      </c>
      <c r="S51" s="12" t="inlineStr">
        <is>
          <t>BLOCKED</t>
        </is>
      </c>
      <c r="T51" s="12" t="inlineStr">
        <is>
          <t>NOT_SUBMITTED</t>
        </is>
      </c>
      <c r="U51" s="12" t="inlineStr">
        <is>
          <t>PENDING</t>
        </is>
      </c>
      <c r="V51" s="12" t="inlineStr">
        <is>
          <t>PENDING</t>
        </is>
      </c>
      <c r="W51" s="12" t="inlineStr">
        <is>
          <t>HIGH</t>
        </is>
      </c>
      <c r="X51" s="32" t="n">
        <v>46244</v>
      </c>
      <c r="Y51" s="12" t="str"/>
      <c r="Z51" s="12" t="inlineStr">
        <is>
          <t>Responsável não definido; Direcional/briefing ausente; Link de material ausente ou indireto</t>
        </is>
      </c>
      <c r="AA51" s="12" t="str"/>
    </row>
    <row r="52">
      <c r="A52" s="12" t="inlineStr">
        <is>
          <t>FT26-LEDS_GONDOLAS-051</t>
        </is>
      </c>
      <c r="B52" s="12" t="inlineStr">
        <is>
          <t>LEDS_GONDOLAS</t>
        </is>
      </c>
      <c r="C52" s="12" t="inlineStr">
        <is>
          <t>LEDs de Gôndolas</t>
        </is>
      </c>
      <c r="D52" s="12" t="n">
        <v>11</v>
      </c>
      <c r="E52" s="12" t="inlineStr">
        <is>
          <t>Molico</t>
        </is>
      </c>
      <c r="F52" s="12" t="str"/>
      <c r="G52" s="12" t="str"/>
      <c r="H52" s="12" t="str"/>
      <c r="I52" s="12" t="str"/>
      <c r="J52" s="12" t="inlineStr">
        <is>
          <t>Feito</t>
        </is>
      </c>
      <c r="K52" s="12" t="str"/>
      <c r="L52" s="12" t="inlineStr">
        <is>
          <t>- Link acima</t>
        </is>
      </c>
      <c r="M52" s="12" t="str"/>
      <c r="N52" s="12" t="str"/>
      <c r="O52" s="12" t="str"/>
      <c r="P52" s="12" t="str"/>
      <c r="Q52" s="12" t="inlineStr">
        <is>
          <t>B_MOTION_KV</t>
        </is>
      </c>
      <c r="R52" s="12" t="inlineStr">
        <is>
          <t>INPUT_READY</t>
        </is>
      </c>
      <c r="S52" s="12" t="inlineStr">
        <is>
          <t>BLOCKED</t>
        </is>
      </c>
      <c r="T52" s="12" t="inlineStr">
        <is>
          <t>NOT_SUBMITTED</t>
        </is>
      </c>
      <c r="U52" s="12" t="inlineStr">
        <is>
          <t>PENDING</t>
        </is>
      </c>
      <c r="V52" s="12" t="inlineStr">
        <is>
          <t>PENDING</t>
        </is>
      </c>
      <c r="W52" s="12" t="inlineStr">
        <is>
          <t>HIGH</t>
        </is>
      </c>
      <c r="X52" s="32" t="n">
        <v>46244</v>
      </c>
      <c r="Y52" s="12" t="str"/>
      <c r="Z52" s="12" t="inlineStr">
        <is>
          <t>Responsável não definido; Direcional/briefing ausente; Link de material ausente ou indireto</t>
        </is>
      </c>
      <c r="AA52" s="12" t="str"/>
    </row>
    <row r="53">
      <c r="A53" s="12" t="inlineStr">
        <is>
          <t>FT26-LEDS_GONDOLAS-052</t>
        </is>
      </c>
      <c r="B53" s="12" t="inlineStr">
        <is>
          <t>LEDS_GONDOLAS</t>
        </is>
      </c>
      <c r="C53" s="12" t="inlineStr">
        <is>
          <t>LEDs de Gôndolas</t>
        </is>
      </c>
      <c r="D53" s="12" t="n">
        <v>12</v>
      </c>
      <c r="E53" s="12" t="inlineStr">
        <is>
          <t>Ascenda</t>
        </is>
      </c>
      <c r="F53" s="12" t="str"/>
      <c r="G53" s="12" t="str"/>
      <c r="H53" s="12" t="str"/>
      <c r="I53" s="12" t="str"/>
      <c r="J53" s="12" t="str"/>
      <c r="K53" s="12" t="str"/>
      <c r="L53" s="12" t="inlineStr">
        <is>
          <t>- Link acima</t>
        </is>
      </c>
      <c r="M53" s="12" t="str"/>
      <c r="N53" s="12" t="str"/>
      <c r="O53" s="12" t="str"/>
      <c r="P53" s="12" t="str"/>
      <c r="Q53" s="12" t="inlineStr">
        <is>
          <t>B_MOTION_KV</t>
        </is>
      </c>
      <c r="R53" s="12" t="inlineStr">
        <is>
          <t>NEEDS_TRIAGE</t>
        </is>
      </c>
      <c r="S53" s="12" t="inlineStr">
        <is>
          <t>BLOCKED</t>
        </is>
      </c>
      <c r="T53" s="12" t="inlineStr">
        <is>
          <t>NOT_SUBMITTED</t>
        </is>
      </c>
      <c r="U53" s="12" t="inlineStr">
        <is>
          <t>PENDING</t>
        </is>
      </c>
      <c r="V53" s="12" t="inlineStr">
        <is>
          <t>PENDING</t>
        </is>
      </c>
      <c r="W53" s="12" t="inlineStr">
        <is>
          <t>HIGH</t>
        </is>
      </c>
      <c r="X53" s="32" t="n">
        <v>46244</v>
      </c>
      <c r="Y53" s="12" t="str"/>
      <c r="Z53" s="12" t="inlineStr">
        <is>
          <t>Responsável não definido; Direcional/briefing ausente; Link de material ausente ou indireto</t>
        </is>
      </c>
      <c r="AA53" s="12" t="str"/>
    </row>
    <row r="54">
      <c r="A54" s="12" t="inlineStr">
        <is>
          <t>FT26-LEDS_GONDOLAS-053</t>
        </is>
      </c>
      <c r="B54" s="12" t="inlineStr">
        <is>
          <t>LEDS_GONDOLAS</t>
        </is>
      </c>
      <c r="C54" s="12" t="inlineStr">
        <is>
          <t>LEDs de Gôndolas</t>
        </is>
      </c>
      <c r="D54" s="12" t="n">
        <v>13</v>
      </c>
      <c r="E54" s="12" t="inlineStr">
        <is>
          <t>Vital</t>
        </is>
      </c>
      <c r="F54" s="12" t="str"/>
      <c r="G54" s="12" t="str"/>
      <c r="H54" s="12" t="str"/>
      <c r="I54" s="12" t="str"/>
      <c r="J54" s="12" t="inlineStr">
        <is>
          <t>Feito</t>
        </is>
      </c>
      <c r="K54" s="12" t="str"/>
      <c r="L54" s="12" t="inlineStr">
        <is>
          <t>- Link acima</t>
        </is>
      </c>
      <c r="M54" s="12" t="str"/>
      <c r="N54" s="12" t="str"/>
      <c r="O54" s="12" t="str"/>
      <c r="P54" s="12" t="str"/>
      <c r="Q54" s="12" t="inlineStr">
        <is>
          <t>B_MOTION_KV</t>
        </is>
      </c>
      <c r="R54" s="12" t="inlineStr">
        <is>
          <t>INPUT_READY</t>
        </is>
      </c>
      <c r="S54" s="12" t="inlineStr">
        <is>
          <t>BLOCKED</t>
        </is>
      </c>
      <c r="T54" s="12" t="inlineStr">
        <is>
          <t>NOT_SUBMITTED</t>
        </is>
      </c>
      <c r="U54" s="12" t="inlineStr">
        <is>
          <t>PENDING</t>
        </is>
      </c>
      <c r="V54" s="12" t="inlineStr">
        <is>
          <t>PENDING</t>
        </is>
      </c>
      <c r="W54" s="12" t="inlineStr">
        <is>
          <t>HIGH</t>
        </is>
      </c>
      <c r="X54" s="32" t="n">
        <v>46244</v>
      </c>
      <c r="Y54" s="12" t="str"/>
      <c r="Z54" s="12" t="inlineStr">
        <is>
          <t>Responsável não definido; Direcional/briefing ausente; Link de material ausente ou indireto</t>
        </is>
      </c>
      <c r="AA54" s="12" t="str"/>
    </row>
    <row r="55">
      <c r="A55" s="12" t="inlineStr">
        <is>
          <t>FT26-LED_NINHO-054</t>
        </is>
      </c>
      <c r="B55" s="12" t="inlineStr">
        <is>
          <t>LED_NINHO</t>
        </is>
      </c>
      <c r="C55" s="12" t="inlineStr">
        <is>
          <t>LED Ninho — Patrulha Canina</t>
        </is>
      </c>
      <c r="D55" s="12" t="n">
        <v>1</v>
      </c>
      <c r="E55" s="12" t="inlineStr">
        <is>
          <t>Ninho - Patrulha Canina</t>
        </is>
      </c>
      <c r="F55" s="12" t="str"/>
      <c r="G55" s="12" t="str"/>
      <c r="H55" s="12" t="str"/>
      <c r="I55" s="12" t="str"/>
      <c r="J55" s="12" t="str"/>
      <c r="K55" s="12" t="str"/>
      <c r="L55" s="12" t="str"/>
      <c r="M55" s="12" t="str"/>
      <c r="N55" s="12" t="str"/>
      <c r="O55" s="12" t="str"/>
      <c r="P55" s="12" t="str"/>
      <c r="Q55" s="12" t="inlineStr">
        <is>
          <t>B_MOTION_KV</t>
        </is>
      </c>
      <c r="R55" s="12" t="inlineStr">
        <is>
          <t>NEEDS_TRIAGE</t>
        </is>
      </c>
      <c r="S55" s="12" t="inlineStr">
        <is>
          <t>BLOCKED</t>
        </is>
      </c>
      <c r="T55" s="12" t="inlineStr">
        <is>
          <t>NOT_SUBMITTED</t>
        </is>
      </c>
      <c r="U55" s="12" t="inlineStr">
        <is>
          <t>PENDING</t>
        </is>
      </c>
      <c r="V55" s="12" t="inlineStr">
        <is>
          <t>PENDING</t>
        </is>
      </c>
      <c r="W55" s="12" t="inlineStr">
        <is>
          <t>HIGH</t>
        </is>
      </c>
      <c r="X55" s="32" t="n">
        <v>46244</v>
      </c>
      <c r="Y55" s="12" t="str"/>
      <c r="Z55" s="12" t="inlineStr">
        <is>
          <t>Responsável não definido; Direcional/briefing ausente; Link de material ausente ou indireto</t>
        </is>
      </c>
      <c r="AA55" s="12" t="str"/>
    </row>
    <row r="56">
      <c r="A56" s="12" t="inlineStr">
        <is>
          <t>FT26-TV_SALA_VIP-055</t>
        </is>
      </c>
      <c r="B56" s="12" t="inlineStr">
        <is>
          <t>TV_SALA_VIP</t>
        </is>
      </c>
      <c r="C56" s="12" t="inlineStr">
        <is>
          <t>TV Sala VIP — 4K QLED</t>
        </is>
      </c>
      <c r="D56" s="12" t="n">
        <v>1</v>
      </c>
      <c r="E56" s="12" t="inlineStr">
        <is>
          <t>Logo Nestlé - intercalando com os passaros voando e Nutrition and Health a número 01 em Nutrição no Brasil e no Mundo.</t>
        </is>
      </c>
      <c r="F56" s="12" t="str"/>
      <c r="G56" s="12" t="str"/>
      <c r="H56" s="12" t="inlineStr">
        <is>
          <t>Vídeo - Nutrition &amp; Health</t>
        </is>
      </c>
      <c r="I56" s="12" t="str"/>
      <c r="J56" s="12" t="inlineStr">
        <is>
          <t>Feito</t>
        </is>
      </c>
      <c r="K56" s="12" t="str"/>
      <c r="L56" s="12" t="str"/>
      <c r="M56" s="12" t="str"/>
      <c r="N56" s="12" t="str"/>
      <c r="O56" s="12" t="str"/>
      <c r="P56" s="12" t="str"/>
      <c r="Q56" s="12" t="inlineStr">
        <is>
          <t>A_ADAPTATION</t>
        </is>
      </c>
      <c r="R56" s="12" t="inlineStr">
        <is>
          <t>INPUT_READY</t>
        </is>
      </c>
      <c r="S56" s="12" t="inlineStr">
        <is>
          <t>BLOCKED</t>
        </is>
      </c>
      <c r="T56" s="12" t="inlineStr">
        <is>
          <t>NOT_SUBMITTED</t>
        </is>
      </c>
      <c r="U56" s="12" t="inlineStr">
        <is>
          <t>PENDING</t>
        </is>
      </c>
      <c r="V56" s="12" t="inlineStr">
        <is>
          <t>PENDING</t>
        </is>
      </c>
      <c r="W56" s="12" t="inlineStr">
        <is>
          <t>HIGH</t>
        </is>
      </c>
      <c r="X56" s="32" t="n">
        <v>46244</v>
      </c>
      <c r="Y56" s="12" t="str"/>
      <c r="Z56" s="12" t="inlineStr">
        <is>
          <t>Responsável não definido; Direcional/briefing ausente; Link de material ausente ou indireto</t>
        </is>
      </c>
      <c r="AA56" s="12" t="str"/>
    </row>
  </sheetData>
  <conditionalFormatting sqref="S2:S56">
    <cfRule type="expression" priority="1" dxfId="0">
      <formula>S2="BLOCKED"</formula>
    </cfRule>
    <cfRule type="expression" priority="2" dxfId="1">
      <formula>S2="DELIVERED"</formula>
    </cfRule>
  </conditionalFormatting>
  <conditionalFormatting sqref="T2:T56">
    <cfRule type="expression" priority="3" dxfId="1">
      <formula>T2="APPROVED"</formula>
    </cfRule>
  </conditionalFormatting>
  <conditionalFormatting sqref="W2:W56">
    <cfRule type="expression" priority="4" dxfId="0">
      <formula>W2="CRITICAL"</formula>
    </cfRule>
  </conditionalFormatting>
  <dataValidations count="7">
    <dataValidation sqref="Q2:Q56" showDropDown="0" showInputMessage="0" showErrorMessage="0" allowBlank="0" type="list">
      <formula1>Lists!$F$2:$F$5</formula1>
    </dataValidation>
    <dataValidation sqref="R2:R56" showDropDown="0" showInputMessage="0" showErrorMessage="0" allowBlank="0" type="list">
      <formula1>Lists!$G$2:$G$6</formula1>
    </dataValidation>
    <dataValidation sqref="S2:S56" showDropDown="0" showInputMessage="0" showErrorMessage="0" allowBlank="0" type="list">
      <formula1>Lists!$A$2:$A$12</formula1>
    </dataValidation>
    <dataValidation sqref="T2:T56" showDropDown="0" showInputMessage="0" showErrorMessage="0" allowBlank="0" type="list">
      <formula1>Lists!$B$2:$B$6</formula1>
    </dataValidation>
    <dataValidation sqref="U2:U56" showDropDown="0" showInputMessage="0" showErrorMessage="0" allowBlank="0" type="list">
      <formula1>Lists!$C$2:$C$6</formula1>
    </dataValidation>
    <dataValidation sqref="V2:V56" showDropDown="0" showInputMessage="0" showErrorMessage="0" allowBlank="0" type="list">
      <formula1>Lists!$D$2:$D$6</formula1>
    </dataValidation>
    <dataValidation sqref="W2:W56" showDropDown="0" showInputMessage="0" showErrorMessage="0" allowBlank="0" type="list">
      <formula1>Lists!$E$2:$E$5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50" customWidth="1" min="9" max="9"/>
  </cols>
  <sheetData>
    <row r="1">
      <c r="A1" s="6" t="inlineStr">
        <is>
          <t>Placement_Code</t>
        </is>
      </c>
      <c r="B1" s="6" t="inlineStr">
        <is>
          <t>Placement_Name</t>
        </is>
      </c>
      <c r="C1" s="6" t="inlineStr">
        <is>
          <t>Width_px</t>
        </is>
      </c>
      <c r="D1" s="6" t="inlineStr">
        <is>
          <t>Height_px</t>
        </is>
      </c>
      <c r="E1" s="6" t="inlineStr">
        <is>
          <t>FPS</t>
        </is>
      </c>
      <c r="F1" s="6" t="inlineStr">
        <is>
          <t>Video_Codec</t>
        </is>
      </c>
      <c r="G1" s="6" t="inlineStr">
        <is>
          <t>Container</t>
        </is>
      </c>
      <c r="H1" s="6" t="inlineStr">
        <is>
          <t>Audio_Codec</t>
        </is>
      </c>
      <c r="I1" s="6" t="inlineStr">
        <is>
          <t>Notes</t>
        </is>
      </c>
    </row>
    <row r="2">
      <c r="A2" s="12" t="inlineStr">
        <is>
          <t>LED01_CURVO</t>
        </is>
      </c>
      <c r="B2" s="12" t="inlineStr">
        <is>
          <t>LED 1 — Frente / Curvo</t>
        </is>
      </c>
      <c r="C2" s="12" t="str"/>
      <c r="D2" s="12" t="str"/>
      <c r="E2" s="12" t="str"/>
      <c r="F2" s="12" t="str"/>
      <c r="G2" s="12" t="str"/>
      <c r="H2" s="12" t="str"/>
      <c r="I2" s="12" t="inlineStr">
        <is>
          <t>Referência 2025 960x960; pixel map final pendente</t>
        </is>
      </c>
    </row>
    <row r="3">
      <c r="A3" s="12" t="inlineStr">
        <is>
          <t>LED02_BALCAO_RECEITAS</t>
        </is>
      </c>
      <c r="B3" s="12" t="inlineStr">
        <is>
          <t>LED 2 — Balcão de Receitas</t>
        </is>
      </c>
      <c r="C3" s="12" t="str"/>
      <c r="D3" s="12" t="str"/>
      <c r="E3" s="12" t="str"/>
      <c r="F3" s="12" t="str"/>
      <c r="G3" s="12" t="str"/>
      <c r="H3" s="12" t="str"/>
      <c r="I3" s="12" t="inlineStr">
        <is>
          <t>Formato horizontal; pixel map pendente</t>
        </is>
      </c>
    </row>
    <row r="4">
      <c r="A4" s="12" t="inlineStr">
        <is>
          <t>LED03_CORREDOR_GLP1</t>
        </is>
      </c>
      <c r="B4" s="12" t="inlineStr">
        <is>
          <t>LED 3 — Corredor / GLP-1</t>
        </is>
      </c>
      <c r="C4" s="12" t="inlineStr">
        <is>
          <t>960</t>
        </is>
      </c>
      <c r="D4" s="12" t="inlineStr">
        <is>
          <t>1344</t>
        </is>
      </c>
      <c r="E4" s="12" t="str"/>
      <c r="F4" s="12" t="str"/>
      <c r="G4" s="12" t="str"/>
      <c r="H4" s="12" t="str"/>
      <c r="I4" s="12" t="inlineStr">
        <is>
          <t>Referência 2025 identificada; homologação 2026 pendente</t>
        </is>
      </c>
    </row>
    <row r="5">
      <c r="A5" s="12" t="inlineStr">
        <is>
          <t>LED04_PAINEL_INTERATIVO</t>
        </is>
      </c>
      <c r="B5" s="12" t="inlineStr">
        <is>
          <t>LED 4 — Painel Interativo</t>
        </is>
      </c>
      <c r="C5" s="12" t="str"/>
      <c r="D5" s="12" t="str"/>
      <c r="E5" s="12" t="str"/>
      <c r="F5" s="12" t="str"/>
      <c r="G5" s="12" t="str"/>
      <c r="H5" s="12" t="str"/>
      <c r="I5" s="12" t="inlineStr">
        <is>
          <t>Confirmar vídeo linear versus aplicação interativa</t>
        </is>
      </c>
    </row>
    <row r="6">
      <c r="A6" s="12" t="inlineStr">
        <is>
          <t>LEDS_GONDOLAS</t>
        </is>
      </c>
      <c r="B6" s="12" t="inlineStr">
        <is>
          <t>LEDs de Gôndolas</t>
        </is>
      </c>
      <c r="C6" s="12" t="str"/>
      <c r="D6" s="12" t="str"/>
      <c r="E6" s="12" t="str"/>
      <c r="F6" s="12" t="str"/>
      <c r="G6" s="12" t="str"/>
      <c r="H6" s="12" t="str"/>
      <c r="I6" s="12" t="inlineStr">
        <is>
          <t>10 nichos arquitetônicos e 13 grupos de conteúdo mapeados</t>
        </is>
      </c>
    </row>
    <row r="7">
      <c r="A7" s="12" t="inlineStr">
        <is>
          <t>LED_NINHO</t>
        </is>
      </c>
      <c r="B7" s="12" t="inlineStr">
        <is>
          <t>LED Ninho — Patrulha Canina</t>
        </is>
      </c>
      <c r="C7" s="12" t="str"/>
      <c r="D7" s="12" t="str"/>
      <c r="E7" s="12" t="str"/>
      <c r="F7" s="12" t="str"/>
      <c r="G7" s="12" t="str"/>
      <c r="H7" s="12" t="str"/>
      <c r="I7" s="12" t="inlineStr">
        <is>
          <t>Pixel map e materiais pendentes</t>
        </is>
      </c>
    </row>
    <row r="8">
      <c r="A8" s="12" t="inlineStr">
        <is>
          <t>TV_SALA_VIP</t>
        </is>
      </c>
      <c r="B8" s="12" t="inlineStr">
        <is>
          <t>TV Sala VIP — 4K QLED</t>
        </is>
      </c>
      <c r="C8" s="12" t="inlineStr">
        <is>
          <t>3840</t>
        </is>
      </c>
      <c r="D8" s="12" t="inlineStr">
        <is>
          <t>2160</t>
        </is>
      </c>
      <c r="E8" s="12" t="str"/>
      <c r="F8" s="12" t="str"/>
      <c r="G8" s="12" t="str"/>
      <c r="H8" s="12" t="str"/>
      <c r="I8" s="12" t="inlineStr">
        <is>
          <t>4K informado no título; confirmar playback e FPS</t>
        </is>
      </c>
    </row>
    <row r="9">
      <c r="A9" s="12" t="inlineStr">
        <is>
          <t>P1_9_8X6MOD</t>
        </is>
      </c>
      <c r="B9" s="12" t="inlineStr">
        <is>
          <t>Pixel map anexado</t>
        </is>
      </c>
      <c r="C9" s="12" t="inlineStr">
        <is>
          <t>2048</t>
        </is>
      </c>
      <c r="D9" s="12" t="inlineStr">
        <is>
          <t>1536</t>
        </is>
      </c>
      <c r="E9" s="12" t="inlineStr">
        <is>
          <t>60</t>
        </is>
      </c>
      <c r="F9" s="12" t="inlineStr">
        <is>
          <t>H.264</t>
        </is>
      </c>
      <c r="G9" s="12" t="inlineStr">
        <is>
          <t>MP4</t>
        </is>
      </c>
      <c r="H9" s="12" t="inlineStr">
        <is>
          <t>AAC</t>
        </is>
      </c>
      <c r="I9" s="12" t="inlineStr">
        <is>
          <t>Especificação confirmada no PDF anexado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24" customWidth="1" min="4" max="4"/>
    <col width="26" customWidth="1" min="5" max="5"/>
    <col width="38" customWidth="1" min="6" max="6"/>
  </cols>
  <sheetData>
    <row r="1">
      <c r="A1" s="6" t="inlineStr">
        <is>
          <t>Role</t>
        </is>
      </c>
      <c r="B1" s="6" t="inlineStr">
        <is>
          <t>Responsibility</t>
        </is>
      </c>
      <c r="C1" s="6" t="inlineStr">
        <is>
          <t>RACI</t>
        </is>
      </c>
      <c r="D1" s="6" t="inlineStr">
        <is>
          <t>Name</t>
        </is>
      </c>
      <c r="E1" s="6" t="inlineStr">
        <is>
          <t>Contact</t>
        </is>
      </c>
      <c r="F1" s="6" t="inlineStr">
        <is>
          <t>Notes</t>
        </is>
      </c>
    </row>
    <row r="2">
      <c r="A2" s="12" t="inlineStr">
        <is>
          <t>Contratante / Pagador</t>
        </is>
      </c>
      <c r="B2" s="12" t="inlineStr">
        <is>
          <t>Aprovar proposta e pagamento</t>
        </is>
      </c>
      <c r="C2" s="12" t="inlineStr">
        <is>
          <t>A</t>
        </is>
      </c>
      <c r="D2" s="12" t="inlineStr">
        <is>
          <t>PENDENTE</t>
        </is>
      </c>
      <c r="E2" s="12" t="str"/>
      <c r="F2" s="12" t="inlineStr">
        <is>
          <t>Definir antes do início</t>
        </is>
      </c>
    </row>
    <row r="3">
      <c r="A3" s="12" t="inlineStr">
        <is>
          <t>Gerente de Projeto</t>
        </is>
      </c>
      <c r="B3" s="12" t="inlineStr">
        <is>
          <t>Consolidar cronograma, materiais e feedback</t>
        </is>
      </c>
      <c r="C3" s="12" t="inlineStr">
        <is>
          <t>R</t>
        </is>
      </c>
      <c r="D3" s="12" t="inlineStr">
        <is>
          <t>PENDENTE</t>
        </is>
      </c>
      <c r="E3" s="12" t="str"/>
      <c r="F3" s="12" t="inlineStr">
        <is>
          <t>Um único ponto operacional</t>
        </is>
      </c>
    </row>
    <row r="4">
      <c r="A4" s="12" t="inlineStr">
        <is>
          <t>Aprovador Executivo Nestlé</t>
        </is>
      </c>
      <c r="B4" s="12" t="inlineStr">
        <is>
          <t>Aprovação final de escopo e conteúdo</t>
        </is>
      </c>
      <c r="C4" s="12" t="inlineStr">
        <is>
          <t>A</t>
        </is>
      </c>
      <c r="D4" s="12" t="inlineStr">
        <is>
          <t>PENDENTE</t>
        </is>
      </c>
      <c r="E4" s="12" t="str"/>
      <c r="F4" s="12" t="inlineStr">
        <is>
          <t>Evita decisões conflitantes</t>
        </is>
      </c>
    </row>
    <row r="5">
      <c r="A5" s="12" t="inlineStr">
        <is>
          <t>Responsável de Marca</t>
        </is>
      </c>
      <c r="B5" s="12" t="inlineStr">
        <is>
          <t>Validar produto, copy e claim</t>
        </is>
      </c>
      <c r="C5" s="12" t="inlineStr">
        <is>
          <t>R</t>
        </is>
      </c>
      <c r="D5" s="12" t="inlineStr">
        <is>
          <t>Conforme matriz</t>
        </is>
      </c>
      <c r="E5" s="12" t="str"/>
      <c r="F5" s="12" t="inlineStr">
        <is>
          <t>Um por marca</t>
        </is>
      </c>
    </row>
    <row r="6">
      <c r="A6" s="12" t="inlineStr">
        <is>
          <t>Marketing / Trade</t>
        </is>
      </c>
      <c r="B6" s="12" t="inlineStr">
        <is>
          <t>Validar direcional comercial</t>
        </is>
      </c>
      <c r="C6" s="12" t="inlineStr">
        <is>
          <t>C</t>
        </is>
      </c>
      <c r="D6" s="12" t="inlineStr">
        <is>
          <t>PENDENTE</t>
        </is>
      </c>
      <c r="E6" s="12" t="str"/>
      <c r="F6" s="12" t="str"/>
    </row>
    <row r="7">
      <c r="A7" s="12" t="inlineStr">
        <is>
          <t>Legal / Regulatórios</t>
        </is>
      </c>
      <c r="B7" s="12" t="inlineStr">
        <is>
          <t>Aprovar claims e disclaimers</t>
        </is>
      </c>
      <c r="C7" s="12" t="inlineStr">
        <is>
          <t>A</t>
        </is>
      </c>
      <c r="D7" s="12" t="inlineStr">
        <is>
          <t>PENDENTE</t>
        </is>
      </c>
      <c r="E7" s="12" t="str"/>
      <c r="F7" s="12" t="inlineStr">
        <is>
          <t>Obrigatório antes do master</t>
        </is>
      </c>
    </row>
    <row r="8">
      <c r="A8" s="12" t="inlineStr">
        <is>
          <t>Direção Criativa</t>
        </is>
      </c>
      <c r="B8" s="12" t="inlineStr">
        <is>
          <t>Sistema visual e qualidade criativa</t>
        </is>
      </c>
      <c r="C8" s="12" t="inlineStr">
        <is>
          <t>R</t>
        </is>
      </c>
      <c r="D8" s="12" t="inlineStr">
        <is>
          <t>Danilo Novais</t>
        </is>
      </c>
      <c r="E8" s="12" t="str"/>
      <c r="F8" s="12" t="str"/>
    </row>
    <row r="9">
      <c r="A9" s="12" t="inlineStr">
        <is>
          <t>Motion / Edição</t>
        </is>
      </c>
      <c r="B9" s="12" t="inlineStr">
        <is>
          <t>Produção e render</t>
        </is>
      </c>
      <c r="C9" s="12" t="inlineStr">
        <is>
          <t>R</t>
        </is>
      </c>
      <c r="D9" s="12" t="inlineStr">
        <is>
          <t>PENDENTE</t>
        </is>
      </c>
      <c r="E9" s="12" t="str"/>
      <c r="F9" s="12" t="str"/>
    </row>
    <row r="10">
      <c r="A10" s="12" t="inlineStr">
        <is>
          <t>Desenvolvimento Interativo</t>
        </is>
      </c>
      <c r="B10" s="12" t="inlineStr">
        <is>
          <t>Software, sensores e integração</t>
        </is>
      </c>
      <c r="C10" s="12" t="inlineStr">
        <is>
          <t>R</t>
        </is>
      </c>
      <c r="D10" s="12" t="inlineStr">
        <is>
          <t>PENDENTE</t>
        </is>
      </c>
      <c r="E10" s="12" t="str"/>
      <c r="F10" s="12" t="inlineStr">
        <is>
          <t>Somente se confirmado</t>
        </is>
      </c>
    </row>
    <row r="11">
      <c r="A11" s="12" t="inlineStr">
        <is>
          <t>Fornecedor de LED</t>
        </is>
      </c>
      <c r="B11" s="12" t="inlineStr">
        <is>
          <t>Pixel maps, players e homologação</t>
        </is>
      </c>
      <c r="C11" s="12" t="inlineStr">
        <is>
          <t>R</t>
        </is>
      </c>
      <c r="D11" s="12" t="inlineStr">
        <is>
          <t>PENDENTE</t>
        </is>
      </c>
      <c r="E11" s="12" t="str"/>
      <c r="F11" s="12" t="inlineStr">
        <is>
          <t>Contato técnico direto</t>
        </is>
      </c>
    </row>
    <row r="12">
      <c r="A12" s="12" t="inlineStr">
        <is>
          <t>Operador de Playback</t>
        </is>
      </c>
      <c r="B12" s="12" t="inlineStr">
        <is>
          <t>Ingestão, playlist e teste</t>
        </is>
      </c>
      <c r="C12" s="12" t="inlineStr">
        <is>
          <t>R</t>
        </is>
      </c>
      <c r="D12" s="12" t="inlineStr">
        <is>
          <t>PENDENTE</t>
        </is>
      </c>
      <c r="E12" s="12" t="str"/>
      <c r="F12" s="12" t="str"/>
    </row>
    <row r="13">
      <c r="A13" s="12" t="inlineStr">
        <is>
          <t>Produção do Evento</t>
        </is>
      </c>
      <c r="B13" s="12" t="inlineStr">
        <is>
          <t>Montagem e acesso técnico</t>
        </is>
      </c>
      <c r="C13" s="12" t="inlineStr">
        <is>
          <t>C</t>
        </is>
      </c>
      <c r="D13" s="12" t="inlineStr">
        <is>
          <t>PENDENTE</t>
        </is>
      </c>
      <c r="E13" s="12" t="str"/>
      <c r="F13" s="1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0" customWidth="1" min="4" max="4"/>
    <col width="34" customWidth="1" min="5" max="5"/>
    <col width="45" customWidth="1" min="6" max="6"/>
    <col width="14" customWidth="1" min="7" max="7"/>
  </cols>
  <sheetData>
    <row r="1">
      <c r="A1" s="6" t="inlineStr">
        <is>
          <t>Risk_ID</t>
        </is>
      </c>
      <c r="B1" s="6" t="inlineStr">
        <is>
          <t>Risk</t>
        </is>
      </c>
      <c r="C1" s="6" t="inlineStr">
        <is>
          <t>Level</t>
        </is>
      </c>
      <c r="D1" s="6" t="inlineStr">
        <is>
          <t>Evidence</t>
        </is>
      </c>
      <c r="E1" s="6" t="inlineStr">
        <is>
          <t>Impact</t>
        </is>
      </c>
      <c r="F1" s="6" t="inlineStr">
        <is>
          <t>Preventive_Action</t>
        </is>
      </c>
      <c r="G1" s="6" t="inlineStr">
        <is>
          <t>Status</t>
        </is>
      </c>
    </row>
    <row r="2">
      <c r="A2" s="12" t="inlineStr">
        <is>
          <t>R-001</t>
        </is>
      </c>
      <c r="B2" s="12" t="inlineStr">
        <is>
          <t>Escopo subestimado</t>
        </is>
      </c>
      <c r="C2" s="12" t="inlineStr">
        <is>
          <t>HIGH</t>
        </is>
      </c>
      <c r="D2" s="12" t="inlineStr">
        <is>
          <t>55 assets + standbys + interatividade</t>
        </is>
      </c>
      <c r="E2" s="12" t="inlineStr">
        <is>
          <t>Perda de margem e atraso</t>
        </is>
      </c>
      <c r="F2" s="12" t="inlineStr">
        <is>
          <t>Congelar matriz final antes da proposta</t>
        </is>
      </c>
      <c r="G2" s="12" t="inlineStr">
        <is>
          <t>Open</t>
        </is>
      </c>
    </row>
    <row r="3">
      <c r="A3" s="12" t="inlineStr">
        <is>
          <t>R-002</t>
        </is>
      </c>
      <c r="B3" s="12" t="inlineStr">
        <is>
          <t>Pixel maps incompletos</t>
        </is>
      </c>
      <c r="C3" s="12" t="inlineStr">
        <is>
          <t>HIGH</t>
        </is>
      </c>
      <c r="D3" s="12" t="inlineStr">
        <is>
          <t>Apenas um pixel map formal anexado</t>
        </is>
      </c>
      <c r="E3" s="12" t="inlineStr">
        <is>
          <t>Recortes e rejeição técnica</t>
        </is>
      </c>
      <c r="F3" s="12" t="inlineStr">
        <is>
          <t>Exigir homologação por placement</t>
        </is>
      </c>
      <c r="G3" s="12" t="inlineStr">
        <is>
          <t>Open</t>
        </is>
      </c>
    </row>
    <row r="4">
      <c r="A4" s="12" t="inlineStr">
        <is>
          <t>R-003</t>
        </is>
      </c>
      <c r="B4" s="12" t="inlineStr">
        <is>
          <t>Briefings incompletos</t>
        </is>
      </c>
      <c r="C4" s="12" t="inlineStr">
        <is>
          <t>HIGH</t>
        </is>
      </c>
      <c r="D4" s="12" t="inlineStr">
        <is>
          <t>Vários direcionais e roteiros ausentes</t>
        </is>
      </c>
      <c r="E4" s="12" t="inlineStr">
        <is>
          <t>Retrabalho e decisões subjetivas</t>
        </is>
      </c>
      <c r="F4" s="12" t="inlineStr">
        <is>
          <t>Aprovar roteiro mínimo por asset</t>
        </is>
      </c>
      <c r="G4" s="12" t="inlineStr">
        <is>
          <t>Open</t>
        </is>
      </c>
    </row>
    <row r="5">
      <c r="A5" s="12" t="inlineStr">
        <is>
          <t>R-004</t>
        </is>
      </c>
      <c r="B5" s="12" t="inlineStr">
        <is>
          <t>Aprovação fragmentada</t>
        </is>
      </c>
      <c r="C5" s="12" t="inlineStr">
        <is>
          <t>HIGH</t>
        </is>
      </c>
      <c r="D5" s="12" t="inlineStr">
        <is>
          <t>Múltiplas empresas e responsáveis</t>
        </is>
      </c>
      <c r="E5" s="12" t="inlineStr">
        <is>
          <t>Feedback conflitante</t>
        </is>
      </c>
      <c r="F5" s="12" t="inlineStr">
        <is>
          <t>Aprovador único + feedback consolidado</t>
        </is>
      </c>
      <c r="G5" s="12" t="inlineStr">
        <is>
          <t>Open</t>
        </is>
      </c>
    </row>
    <row r="6">
      <c r="A6" s="12" t="inlineStr">
        <is>
          <t>R-005</t>
        </is>
      </c>
      <c r="B6" s="12" t="inlineStr">
        <is>
          <t>Responsáveis ausentes</t>
        </is>
      </c>
      <c r="C6" s="12" t="inlineStr">
        <is>
          <t>HIGH</t>
        </is>
      </c>
      <c r="D6" s="12" t="inlineStr">
        <is>
          <t>Muitas linhas sem owner</t>
        </is>
      </c>
      <c r="E6" s="12" t="inlineStr">
        <is>
          <t>Bloqueios de decisão</t>
        </is>
      </c>
      <c r="F6" s="12" t="inlineStr">
        <is>
          <t>Completar RACI e Owner</t>
        </is>
      </c>
      <c r="G6" s="12" t="inlineStr">
        <is>
          <t>Open</t>
        </is>
      </c>
    </row>
    <row r="7">
      <c r="A7" s="12" t="inlineStr">
        <is>
          <t>R-006</t>
        </is>
      </c>
      <c r="B7" s="12" t="inlineStr">
        <is>
          <t>Prazo D-1</t>
        </is>
      </c>
      <c r="C7" s="12" t="inlineStr">
        <is>
          <t>HIGH</t>
        </is>
      </c>
      <c r="D7" s="12" t="inlineStr">
        <is>
          <t>Entrega informada para véspera</t>
        </is>
      </c>
      <c r="E7" s="12" t="inlineStr">
        <is>
          <t>Sem homologação e contingência</t>
        </is>
      </c>
      <c r="F7" s="12" t="inlineStr">
        <is>
          <t>Final criativo D-2; D-1 apenas técnico</t>
        </is>
      </c>
      <c r="G7" s="12" t="inlineStr">
        <is>
          <t>Open</t>
        </is>
      </c>
    </row>
    <row r="8">
      <c r="A8" s="12" t="inlineStr">
        <is>
          <t>R-007</t>
        </is>
      </c>
      <c r="B8" s="12" t="inlineStr">
        <is>
          <t>Verba indefinida</t>
        </is>
      </c>
      <c r="C8" s="12" t="inlineStr">
        <is>
          <t>HIGH</t>
        </is>
      </c>
      <c r="D8" s="12" t="inlineStr">
        <is>
          <t>Faixa não acordada</t>
        </is>
      </c>
      <c r="E8" s="12" t="inlineStr">
        <is>
          <t>Produção sem proteção comercial</t>
        </is>
      </c>
      <c r="F8" s="12" t="inlineStr">
        <is>
          <t>Aprovar orçamento e sinal</t>
        </is>
      </c>
      <c r="G8" s="12" t="inlineStr">
        <is>
          <t>Open</t>
        </is>
      </c>
    </row>
    <row r="9">
      <c r="A9" s="12" t="inlineStr">
        <is>
          <t>R-008</t>
        </is>
      </c>
      <c r="B9" s="12" t="inlineStr">
        <is>
          <t>Links dispersos ou quebrados</t>
        </is>
      </c>
      <c r="C9" s="12" t="inlineStr">
        <is>
          <t>HIGH</t>
        </is>
      </c>
      <c r="D9" s="12" t="inlineStr">
        <is>
          <t>Dropbox, SharePoint, Box e WeTransfer</t>
        </is>
      </c>
      <c r="E9" s="12" t="inlineStr">
        <is>
          <t>Material errado ou indisponível</t>
        </is>
      </c>
      <c r="F9" s="12" t="inlineStr">
        <is>
          <t>Centralizar inputs versionados</t>
        </is>
      </c>
      <c r="G9" s="12" t="inlineStr">
        <is>
          <t>Open</t>
        </is>
      </c>
    </row>
    <row r="10">
      <c r="A10" s="12" t="inlineStr">
        <is>
          <t>R-009</t>
        </is>
      </c>
      <c r="B10" s="12" t="inlineStr">
        <is>
          <t>Claims pendentes</t>
        </is>
      </c>
      <c r="C10" s="12" t="inlineStr">
        <is>
          <t>HIGH</t>
        </is>
      </c>
      <c r="D10" s="12" t="inlineStr">
        <is>
          <t>Liderança, venda e inovação</t>
        </is>
      </c>
      <c r="E10" s="12" t="inlineStr">
        <is>
          <t>Risco legal e reprovação</t>
        </is>
      </c>
      <c r="F10" s="12" t="inlineStr">
        <is>
          <t>Aprovação Marketing + Legal</t>
        </is>
      </c>
      <c r="G10" s="12" t="inlineStr">
        <is>
          <t>Open</t>
        </is>
      </c>
    </row>
    <row r="11">
      <c r="A11" s="12" t="inlineStr">
        <is>
          <t>R-010</t>
        </is>
      </c>
      <c r="B11" s="12" t="inlineStr">
        <is>
          <t>Interatividade ambígua</t>
        </is>
      </c>
      <c r="C11" s="12" t="inlineStr">
        <is>
          <t>HIGH</t>
        </is>
      </c>
      <c r="D11" s="12" t="inlineStr">
        <is>
          <t>Standby e jornada Nina</t>
        </is>
      </c>
      <c r="E11" s="12" t="inlineStr">
        <is>
          <t>Escopo de software oculto</t>
        </is>
      </c>
      <c r="F11" s="12" t="inlineStr">
        <is>
          <t>Separar motion, UX e desenvolvimento</t>
        </is>
      </c>
      <c r="G11" s="12" t="inlineStr">
        <is>
          <t>Open</t>
        </is>
      </c>
    </row>
    <row r="12">
      <c r="A12" s="12" t="inlineStr">
        <is>
          <t>R-011</t>
        </is>
      </c>
      <c r="B12" s="12" t="inlineStr">
        <is>
          <t>Semelhança com celebridade</t>
        </is>
      </c>
      <c r="C12" s="12" t="inlineStr">
        <is>
          <t>HIGH</t>
        </is>
      </c>
      <c r="D12" s="12" t="inlineStr">
        <is>
          <t>Brief inspirado em Grazi Massafera</t>
        </is>
      </c>
      <c r="E12" s="12" t="inlineStr">
        <is>
          <t>Direito de imagem</t>
        </is>
      </c>
      <c r="F12" s="12" t="inlineStr">
        <is>
          <t>Usar perfil genérico ou autorização</t>
        </is>
      </c>
      <c r="G12" s="12" t="inlineStr">
        <is>
          <t>Open</t>
        </is>
      </c>
    </row>
    <row r="13">
      <c r="A13" s="12" t="inlineStr">
        <is>
          <t>R-012</t>
        </is>
      </c>
      <c r="B13" s="12" t="inlineStr">
        <is>
          <t>Multiplicação de versões</t>
        </is>
      </c>
      <c r="C13" s="12" t="inlineStr">
        <is>
          <t>HIGH</t>
        </is>
      </c>
      <c r="D13" s="12" t="inlineStr">
        <is>
          <t>Múltiplas proporções e players</t>
        </is>
      </c>
      <c r="E13" s="12" t="inlineStr">
        <is>
          <t>Aumento de render e QA</t>
        </is>
      </c>
      <c r="F13" s="12" t="inlineStr">
        <is>
          <t>Cobrar por família técnica</t>
        </is>
      </c>
      <c r="G13" s="12" t="inlineStr">
        <is>
          <t>Open</t>
        </is>
      </c>
    </row>
    <row r="14">
      <c r="A14" s="12" t="inlineStr">
        <is>
          <t>R-013</t>
        </is>
      </c>
      <c r="B14" s="12" t="inlineStr">
        <is>
          <t>Status final vazio</t>
        </is>
      </c>
      <c r="C14" s="12" t="inlineStr">
        <is>
          <t>MEDIUM</t>
        </is>
      </c>
      <c r="D14" s="12" t="inlineStr">
        <is>
          <t>Entrega e aprovação não registradas</t>
        </is>
      </c>
      <c r="E14" s="12" t="inlineStr">
        <is>
          <t>Baixa visibilidade do progresso</t>
        </is>
      </c>
      <c r="F14" s="12" t="inlineStr">
        <is>
          <t>Workflow padronizado</t>
        </is>
      </c>
      <c r="G14" s="12" t="inlineStr">
        <is>
          <t>Open</t>
        </is>
      </c>
    </row>
    <row r="15">
      <c r="A15" s="12" t="inlineStr">
        <is>
          <t>R-014</t>
        </is>
      </c>
      <c r="B15" s="12" t="inlineStr">
        <is>
          <t>Erros de copy</t>
        </is>
      </c>
      <c r="C15" s="12" t="inlineStr">
        <is>
          <t>MEDIUM</t>
        </is>
      </c>
      <c r="D15" s="12" t="inlineStr">
        <is>
          <t>Frases e grafia pendentes</t>
        </is>
      </c>
      <c r="E15" s="12" t="inlineStr">
        <is>
          <t>Erro em escala</t>
        </is>
      </c>
      <c r="F15" s="12" t="inlineStr">
        <is>
          <t>Revisão de copy antes do motion</t>
        </is>
      </c>
      <c r="G15" s="12" t="inlineStr">
        <is>
          <t>Open</t>
        </is>
      </c>
    </row>
    <row r="16">
      <c r="A16" s="12" t="inlineStr">
        <is>
          <t>R-015</t>
        </is>
      </c>
      <c r="B16" s="12" t="inlineStr">
        <is>
          <t>Áudio/sincronização indefinidos</t>
        </is>
      </c>
      <c r="C16" s="12" t="inlineStr">
        <is>
          <t>MEDIUM</t>
        </is>
      </c>
      <c r="D16" s="12" t="inlineStr">
        <is>
          <t>Sem regra de playlist ou som</t>
        </is>
      </c>
      <c r="E16" s="12" t="inlineStr">
        <is>
          <t>Playback inconsistente</t>
        </is>
      </c>
      <c r="F16" s="12" t="inlineStr">
        <is>
          <t>Reunião com fornecedor técnico</t>
        </is>
      </c>
      <c r="G16" s="12" t="inlineStr">
        <is>
          <t>Open</t>
        </is>
      </c>
    </row>
    <row r="17">
      <c r="A17" s="12" t="inlineStr">
        <is>
          <t>R-016</t>
        </is>
      </c>
      <c r="B17" s="12" t="inlineStr">
        <is>
          <t>Fragmentação visual</t>
        </is>
      </c>
      <c r="C17" s="12" t="inlineStr">
        <is>
          <t>MEDIUM</t>
        </is>
      </c>
      <c r="D17" s="12" t="inlineStr">
        <is>
          <t>Muitas campanhas diferentes</t>
        </is>
      </c>
      <c r="E17" s="12" t="inlineStr">
        <is>
          <t>Perda de unidade do estande</t>
        </is>
      </c>
      <c r="F17" s="12" t="inlineStr">
        <is>
          <t>Motion system institucional</t>
        </is>
      </c>
      <c r="G17" s="12" t="inlineStr">
        <is>
          <t>Open</t>
        </is>
      </c>
    </row>
  </sheetData>
  <conditionalFormatting sqref="C2:C17">
    <cfRule type="expression" priority="1" dxfId="0">
      <formula>C2="HIGH"</formula>
    </cfRule>
  </conditionalFormatting>
  <dataValidations count="2">
    <dataValidation sqref="C2:C17" showDropDown="0" showInputMessage="0" showErrorMessage="0" allowBlank="0" type="list">
      <formula1>Lists!$H$2:$H$4</formula1>
    </dataValidation>
    <dataValidation sqref="G2:G17" showDropDown="0" showInputMessage="0" showErrorMessage="0" allowBlank="0" type="list">
      <formula1>Lists!$I$2:$I$5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6" customWidth="1" min="4" max="4"/>
    <col width="24" customWidth="1" min="5" max="5"/>
    <col width="24" customWidth="1" min="6" max="6"/>
    <col width="18" customWidth="1" min="7" max="7"/>
    <col width="16" customWidth="1" min="8" max="8"/>
    <col width="16" customWidth="1" min="9" max="9"/>
    <col width="16" customWidth="1" min="10" max="10"/>
    <col width="30" customWidth="1" min="11" max="11"/>
    <col width="36" customWidth="1" min="12" max="12"/>
  </cols>
  <sheetData>
    <row r="1">
      <c r="A1" s="6" t="inlineStr">
        <is>
          <t>Approval_ID</t>
        </is>
      </c>
      <c r="B1" s="6" t="inlineStr">
        <is>
          <t>Asset_ID</t>
        </is>
      </c>
      <c r="C1" s="6" t="inlineStr">
        <is>
          <t>Revision</t>
        </is>
      </c>
      <c r="D1" s="6" t="inlineStr">
        <is>
          <t>Submitted_Date</t>
        </is>
      </c>
      <c r="E1" s="6" t="inlineStr">
        <is>
          <t>Brand_Approver</t>
        </is>
      </c>
      <c r="F1" s="6" t="inlineStr">
        <is>
          <t>Executive_Approver</t>
        </is>
      </c>
      <c r="G1" s="6" t="inlineStr">
        <is>
          <t>Marketing_Status</t>
        </is>
      </c>
      <c r="H1" s="6" t="inlineStr">
        <is>
          <t>Legal_Status</t>
        </is>
      </c>
      <c r="I1" s="6" t="inlineStr">
        <is>
          <t>Technical_Status</t>
        </is>
      </c>
      <c r="J1" s="6" t="inlineStr">
        <is>
          <t>Decision</t>
        </is>
      </c>
      <c r="K1" s="6" t="inlineStr">
        <is>
          <t>Evidence_Link</t>
        </is>
      </c>
      <c r="L1" s="6" t="inlineStr">
        <is>
          <t>Notes</t>
        </is>
      </c>
    </row>
  </sheetData>
  <dataValidations count="3">
    <dataValidation sqref="G2:G500" showDropDown="0" showInputMessage="0" showErrorMessage="0" allowBlank="0" type="list">
      <formula1>Lists!$B$2:$B$6</formula1>
    </dataValidation>
    <dataValidation sqref="H2:H500" showDropDown="0" showInputMessage="0" showErrorMessage="0" allowBlank="0" type="list">
      <formula1>Lists!$C$2:$C$6</formula1>
    </dataValidation>
    <dataValidation sqref="I2:I500" showDropDown="0" showInputMessage="0" showErrorMessage="0" allowBlank="0" type="list">
      <formula1>Lists!$D$2:$D$6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  <col width="42" customWidth="1" min="5" max="5"/>
    <col width="30" customWidth="1" min="6" max="6"/>
    <col width="22" customWidth="1" min="7" max="7"/>
    <col width="20" customWidth="1" min="8" max="8"/>
    <col width="24" customWidth="1" min="9" max="9"/>
    <col width="16" customWidth="1" min="10" max="10"/>
    <col width="24" customWidth="1" min="11" max="11"/>
    <col width="30" customWidth="1" min="12" max="12"/>
  </cols>
  <sheetData>
    <row r="1">
      <c r="A1" s="6" t="inlineStr">
        <is>
          <t>Change_ID</t>
        </is>
      </c>
      <c r="B1" s="6" t="inlineStr">
        <is>
          <t>Date</t>
        </is>
      </c>
      <c r="C1" s="6" t="inlineStr">
        <is>
          <t>Requester</t>
        </is>
      </c>
      <c r="D1" s="6" t="inlineStr">
        <is>
          <t>Asset_ID</t>
        </is>
      </c>
      <c r="E1" s="6" t="inlineStr">
        <is>
          <t>Description</t>
        </is>
      </c>
      <c r="F1" s="6" t="inlineStr">
        <is>
          <t>Reason</t>
        </is>
      </c>
      <c r="G1" s="6" t="inlineStr">
        <is>
          <t>Schedule_Impact</t>
        </is>
      </c>
      <c r="H1" s="6" t="inlineStr">
        <is>
          <t>Cost_Impact</t>
        </is>
      </c>
      <c r="I1" s="6" t="inlineStr">
        <is>
          <t>Technical_Impact</t>
        </is>
      </c>
      <c r="J1" s="6" t="inlineStr">
        <is>
          <t>Decision</t>
        </is>
      </c>
      <c r="K1" s="6" t="inlineStr">
        <is>
          <t>Approver</t>
        </is>
      </c>
      <c r="L1" s="6" t="inlineStr">
        <is>
          <t>Evidence_Link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4" customWidth="1" min="4" max="4"/>
    <col width="10" customWidth="1" min="5" max="5"/>
    <col width="13" customWidth="1" min="6" max="6"/>
    <col width="10" customWidth="1" min="7" max="7"/>
    <col width="12" customWidth="1" min="8" max="8"/>
    <col width="13" customWidth="1" min="9" max="9"/>
    <col width="1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3" customWidth="1" min="15" max="15"/>
    <col width="13" customWidth="1" min="16" max="16"/>
    <col width="13" customWidth="1" min="17" max="17"/>
    <col width="16" customWidth="1" min="18" max="18"/>
    <col width="20" customWidth="1" min="19" max="19"/>
    <col width="14" customWidth="1" min="20" max="20"/>
    <col width="38" customWidth="1" min="21" max="21"/>
  </cols>
  <sheetData>
    <row r="1">
      <c r="A1" s="6" t="inlineStr">
        <is>
          <t>Asset_ID</t>
        </is>
      </c>
      <c r="B1" s="6" t="inlineStr">
        <is>
          <t>Placement</t>
        </is>
      </c>
      <c r="C1" s="6" t="inlineStr">
        <is>
          <t>Brand_Content</t>
        </is>
      </c>
      <c r="D1" s="6" t="inlineStr">
        <is>
          <t>File_Name</t>
        </is>
      </c>
      <c r="E1" s="6" t="inlineStr">
        <is>
          <t>Revision</t>
        </is>
      </c>
      <c r="F1" s="6" t="inlineStr">
        <is>
          <t>Resolution_OK</t>
        </is>
      </c>
      <c r="G1" s="6" t="inlineStr">
        <is>
          <t>FPS_OK</t>
        </is>
      </c>
      <c r="H1" s="6" t="inlineStr">
        <is>
          <t>Codec_OK</t>
        </is>
      </c>
      <c r="I1" s="6" t="inlineStr">
        <is>
          <t>Duration_OK</t>
        </is>
      </c>
      <c r="J1" s="6" t="inlineStr">
        <is>
          <t>Audio_OK</t>
        </is>
      </c>
      <c r="K1" s="6" t="inlineStr">
        <is>
          <t>No_Black_Frames</t>
        </is>
      </c>
      <c r="L1" s="6" t="inlineStr">
        <is>
          <t>Loop_OK</t>
        </is>
      </c>
      <c r="M1" s="6" t="inlineStr">
        <is>
          <t>Copy_OK</t>
        </is>
      </c>
      <c r="N1" s="6" t="inlineStr">
        <is>
          <t>Claim_OK</t>
        </is>
      </c>
      <c r="O1" s="6" t="inlineStr">
        <is>
          <t>Disclaimer_OK</t>
        </is>
      </c>
      <c r="P1" s="6" t="inlineStr">
        <is>
          <t>Approval_OK</t>
        </is>
      </c>
      <c r="Q1" s="6" t="inlineStr">
        <is>
          <t>Checksum_OK</t>
        </is>
      </c>
      <c r="R1" s="6" t="inlineStr">
        <is>
          <t>QA_Result</t>
        </is>
      </c>
      <c r="S1" s="6" t="inlineStr">
        <is>
          <t>QA_Reviewer</t>
        </is>
      </c>
      <c r="T1" s="6" t="inlineStr">
        <is>
          <t>QA_Date</t>
        </is>
      </c>
      <c r="U1" s="6" t="inlineStr">
        <is>
          <t>Notes</t>
        </is>
      </c>
    </row>
    <row r="2">
      <c r="A2" s="12" t="inlineStr">
        <is>
          <t>FT26-LED01_CURVO-001</t>
        </is>
      </c>
      <c r="B2" s="12" t="inlineStr">
        <is>
          <t>LED 1 — Frente / Curvo</t>
        </is>
      </c>
      <c r="C2" s="12" t="inlineStr">
        <is>
          <t>Família Comfor</t>
        </is>
      </c>
      <c r="D2" s="12" t="str"/>
      <c r="E2" s="12" t="str"/>
      <c r="F2" s="12" t="inlineStr">
        <is>
          <t>PENDING</t>
        </is>
      </c>
      <c r="G2" s="12" t="inlineStr">
        <is>
          <t>PENDING</t>
        </is>
      </c>
      <c r="H2" s="12" t="inlineStr">
        <is>
          <t>PENDING</t>
        </is>
      </c>
      <c r="I2" s="12" t="inlineStr">
        <is>
          <t>PENDING</t>
        </is>
      </c>
      <c r="J2" s="12" t="inlineStr">
        <is>
          <t>PENDING</t>
        </is>
      </c>
      <c r="K2" s="12" t="inlineStr">
        <is>
          <t>PENDING</t>
        </is>
      </c>
      <c r="L2" s="12" t="inlineStr">
        <is>
          <t>PENDING</t>
        </is>
      </c>
      <c r="M2" s="12" t="inlineStr">
        <is>
          <t>PENDING</t>
        </is>
      </c>
      <c r="N2" s="12" t="inlineStr">
        <is>
          <t>PENDING</t>
        </is>
      </c>
      <c r="O2" s="12" t="inlineStr">
        <is>
          <t>PENDING</t>
        </is>
      </c>
      <c r="P2" s="12" t="inlineStr">
        <is>
          <t>PENDING</t>
        </is>
      </c>
      <c r="Q2" s="12" t="inlineStr">
        <is>
          <t>PENDING</t>
        </is>
      </c>
      <c r="R2" s="12" t="inlineStr">
        <is>
          <t>PENDING</t>
        </is>
      </c>
      <c r="S2" s="12" t="str"/>
      <c r="T2" s="12" t="str"/>
      <c r="U2" s="12" t="inlineStr">
        <is>
          <t>Copy/claim pendente de confirmação</t>
        </is>
      </c>
    </row>
    <row r="3">
      <c r="A3" s="12" t="inlineStr">
        <is>
          <t>FT26-LED01_CURVO-002</t>
        </is>
      </c>
      <c r="B3" s="12" t="inlineStr">
        <is>
          <t>LED 1 — Frente / Curvo</t>
        </is>
      </c>
      <c r="C3" s="12" t="inlineStr">
        <is>
          <t>Família Supreme</t>
        </is>
      </c>
      <c r="D3" s="12" t="str"/>
      <c r="E3" s="12" t="str"/>
      <c r="F3" s="12" t="inlineStr">
        <is>
          <t>PENDING</t>
        </is>
      </c>
      <c r="G3" s="12" t="inlineStr">
        <is>
          <t>PENDING</t>
        </is>
      </c>
      <c r="H3" s="12" t="inlineStr">
        <is>
          <t>PENDING</t>
        </is>
      </c>
      <c r="I3" s="12" t="inlineStr">
        <is>
          <t>PENDING</t>
        </is>
      </c>
      <c r="J3" s="12" t="inlineStr">
        <is>
          <t>PENDING</t>
        </is>
      </c>
      <c r="K3" s="12" t="inlineStr">
        <is>
          <t>PENDING</t>
        </is>
      </c>
      <c r="L3" s="12" t="inlineStr">
        <is>
          <t>PENDING</t>
        </is>
      </c>
      <c r="M3" s="12" t="inlineStr">
        <is>
          <t>PENDING</t>
        </is>
      </c>
      <c r="N3" s="12" t="inlineStr">
        <is>
          <t>PENDING</t>
        </is>
      </c>
      <c r="O3" s="12" t="inlineStr">
        <is>
          <t>PENDING</t>
        </is>
      </c>
      <c r="P3" s="12" t="inlineStr">
        <is>
          <t>PENDING</t>
        </is>
      </c>
      <c r="Q3" s="12" t="inlineStr">
        <is>
          <t>PENDING</t>
        </is>
      </c>
      <c r="R3" s="12" t="inlineStr">
        <is>
          <t>PENDING</t>
        </is>
      </c>
      <c r="S3" s="12" t="str"/>
      <c r="T3" s="12" t="str"/>
      <c r="U3" s="12" t="str"/>
    </row>
    <row r="4">
      <c r="A4" s="12" t="inlineStr">
        <is>
          <t>FT26-LED01_CURVO-003</t>
        </is>
      </c>
      <c r="B4" s="12" t="inlineStr">
        <is>
          <t>LED 1 — Frente / Curvo</t>
        </is>
      </c>
      <c r="C4" s="12" t="inlineStr">
        <is>
          <t>Família Nestonutri</t>
        </is>
      </c>
      <c r="D4" s="12" t="str"/>
      <c r="E4" s="12" t="str"/>
      <c r="F4" s="12" t="inlineStr">
        <is>
          <t>PENDING</t>
        </is>
      </c>
      <c r="G4" s="12" t="inlineStr">
        <is>
          <t>PENDING</t>
        </is>
      </c>
      <c r="H4" s="12" t="inlineStr">
        <is>
          <t>PENDING</t>
        </is>
      </c>
      <c r="I4" s="12" t="inlineStr">
        <is>
          <t>PENDING</t>
        </is>
      </c>
      <c r="J4" s="12" t="inlineStr">
        <is>
          <t>PENDING</t>
        </is>
      </c>
      <c r="K4" s="12" t="inlineStr">
        <is>
          <t>PENDING</t>
        </is>
      </c>
      <c r="L4" s="12" t="inlineStr">
        <is>
          <t>PENDING</t>
        </is>
      </c>
      <c r="M4" s="12" t="inlineStr">
        <is>
          <t>PENDING</t>
        </is>
      </c>
      <c r="N4" s="12" t="inlineStr">
        <is>
          <t>PENDING</t>
        </is>
      </c>
      <c r="O4" s="12" t="inlineStr">
        <is>
          <t>PENDING</t>
        </is>
      </c>
      <c r="P4" s="12" t="inlineStr">
        <is>
          <t>PENDING</t>
        </is>
      </c>
      <c r="Q4" s="12" t="inlineStr">
        <is>
          <t>PENDING</t>
        </is>
      </c>
      <c r="R4" s="12" t="inlineStr">
        <is>
          <t>PENDING</t>
        </is>
      </c>
      <c r="S4" s="12" t="str"/>
      <c r="T4" s="12" t="str"/>
      <c r="U4" s="12" t="inlineStr">
        <is>
          <t>Direcional/briefing ausente</t>
        </is>
      </c>
    </row>
    <row r="5">
      <c r="A5" s="12" t="inlineStr">
        <is>
          <t>FT26-LED01_CURVO-004</t>
        </is>
      </c>
      <c r="B5" s="12" t="inlineStr">
        <is>
          <t>LED 1 — Frente / Curvo</t>
        </is>
      </c>
      <c r="C5" s="12" t="inlineStr">
        <is>
          <t>Fórmulas Especiais</t>
        </is>
      </c>
      <c r="D5" s="12" t="str"/>
      <c r="E5" s="12" t="str"/>
      <c r="F5" s="12" t="inlineStr">
        <is>
          <t>PENDING</t>
        </is>
      </c>
      <c r="G5" s="12" t="inlineStr">
        <is>
          <t>PENDING</t>
        </is>
      </c>
      <c r="H5" s="12" t="inlineStr">
        <is>
          <t>PENDING</t>
        </is>
      </c>
      <c r="I5" s="12" t="inlineStr">
        <is>
          <t>PENDING</t>
        </is>
      </c>
      <c r="J5" s="12" t="inlineStr">
        <is>
          <t>PENDING</t>
        </is>
      </c>
      <c r="K5" s="12" t="inlineStr">
        <is>
          <t>PENDING</t>
        </is>
      </c>
      <c r="L5" s="12" t="inlineStr">
        <is>
          <t>PENDING</t>
        </is>
      </c>
      <c r="M5" s="12" t="inlineStr">
        <is>
          <t>PENDING</t>
        </is>
      </c>
      <c r="N5" s="12" t="inlineStr">
        <is>
          <t>PENDING</t>
        </is>
      </c>
      <c r="O5" s="12" t="inlineStr">
        <is>
          <t>PENDING</t>
        </is>
      </c>
      <c r="P5" s="12" t="inlineStr">
        <is>
          <t>PENDING</t>
        </is>
      </c>
      <c r="Q5" s="12" t="inlineStr">
        <is>
          <t>PENDING</t>
        </is>
      </c>
      <c r="R5" s="12" t="inlineStr">
        <is>
          <t>PENDING</t>
        </is>
      </c>
      <c r="S5" s="12" t="str"/>
      <c r="T5" s="12" t="str"/>
      <c r="U5" s="12" t="str"/>
    </row>
    <row r="6">
      <c r="A6" s="12" t="inlineStr">
        <is>
          <t>FT26-LED01_CURVO-005</t>
        </is>
      </c>
      <c r="B6" s="12" t="inlineStr">
        <is>
          <t>LED 1 — Frente / Curvo</t>
        </is>
      </c>
      <c r="C6" s="12" t="inlineStr">
        <is>
          <t>Ninho Fases</t>
        </is>
      </c>
      <c r="D6" s="12" t="str"/>
      <c r="E6" s="12" t="str"/>
      <c r="F6" s="12" t="inlineStr">
        <is>
          <t>PENDING</t>
        </is>
      </c>
      <c r="G6" s="12" t="inlineStr">
        <is>
          <t>PENDING</t>
        </is>
      </c>
      <c r="H6" s="12" t="inlineStr">
        <is>
          <t>PENDING</t>
        </is>
      </c>
      <c r="I6" s="12" t="inlineStr">
        <is>
          <t>PENDING</t>
        </is>
      </c>
      <c r="J6" s="12" t="inlineStr">
        <is>
          <t>PENDING</t>
        </is>
      </c>
      <c r="K6" s="12" t="inlineStr">
        <is>
          <t>PENDING</t>
        </is>
      </c>
      <c r="L6" s="12" t="inlineStr">
        <is>
          <t>PENDING</t>
        </is>
      </c>
      <c r="M6" s="12" t="inlineStr">
        <is>
          <t>PENDING</t>
        </is>
      </c>
      <c r="N6" s="12" t="inlineStr">
        <is>
          <t>PENDING</t>
        </is>
      </c>
      <c r="O6" s="12" t="inlineStr">
        <is>
          <t>PENDING</t>
        </is>
      </c>
      <c r="P6" s="12" t="inlineStr">
        <is>
          <t>PENDING</t>
        </is>
      </c>
      <c r="Q6" s="12" t="inlineStr">
        <is>
          <t>PENDING</t>
        </is>
      </c>
      <c r="R6" s="12" t="inlineStr">
        <is>
          <t>PENDING</t>
        </is>
      </c>
      <c r="S6" s="12" t="str"/>
      <c r="T6" s="12" t="str"/>
      <c r="U6" s="12" t="str"/>
    </row>
    <row r="7">
      <c r="A7" s="12" t="inlineStr">
        <is>
          <t>FT26-LED01_CURVO-006</t>
        </is>
      </c>
      <c r="B7" s="12" t="inlineStr">
        <is>
          <t>LED 1 — Frente / Curvo</t>
        </is>
      </c>
      <c r="C7" s="12" t="inlineStr">
        <is>
          <t>Materna</t>
        </is>
      </c>
      <c r="D7" s="12" t="str"/>
      <c r="E7" s="12" t="str"/>
      <c r="F7" s="12" t="inlineStr">
        <is>
          <t>PENDING</t>
        </is>
      </c>
      <c r="G7" s="12" t="inlineStr">
        <is>
          <t>PENDING</t>
        </is>
      </c>
      <c r="H7" s="12" t="inlineStr">
        <is>
          <t>PENDING</t>
        </is>
      </c>
      <c r="I7" s="12" t="inlineStr">
        <is>
          <t>PENDING</t>
        </is>
      </c>
      <c r="J7" s="12" t="inlineStr">
        <is>
          <t>PENDING</t>
        </is>
      </c>
      <c r="K7" s="12" t="inlineStr">
        <is>
          <t>PENDING</t>
        </is>
      </c>
      <c r="L7" s="12" t="inlineStr">
        <is>
          <t>PENDING</t>
        </is>
      </c>
      <c r="M7" s="12" t="inlineStr">
        <is>
          <t>PENDING</t>
        </is>
      </c>
      <c r="N7" s="12" t="inlineStr">
        <is>
          <t>PENDING</t>
        </is>
      </c>
      <c r="O7" s="12" t="inlineStr">
        <is>
          <t>PENDING</t>
        </is>
      </c>
      <c r="P7" s="12" t="inlineStr">
        <is>
          <t>PENDING</t>
        </is>
      </c>
      <c r="Q7" s="12" t="inlineStr">
        <is>
          <t>PENDING</t>
        </is>
      </c>
      <c r="R7" s="12" t="inlineStr">
        <is>
          <t>PENDING</t>
        </is>
      </c>
      <c r="S7" s="12" t="str"/>
      <c r="T7" s="12" t="str"/>
      <c r="U7" s="12" t="str"/>
    </row>
    <row r="8">
      <c r="A8" s="12" t="inlineStr">
        <is>
          <t>FT26-LED01_CURVO-007</t>
        </is>
      </c>
      <c r="B8" s="12" t="inlineStr">
        <is>
          <t>LED 1 — Frente / Curvo</t>
        </is>
      </c>
      <c r="C8" s="12" t="inlineStr">
        <is>
          <t>Ascenda</t>
        </is>
      </c>
      <c r="D8" s="12" t="str"/>
      <c r="E8" s="12" t="str"/>
      <c r="F8" s="12" t="inlineStr">
        <is>
          <t>PENDING</t>
        </is>
      </c>
      <c r="G8" s="12" t="inlineStr">
        <is>
          <t>PENDING</t>
        </is>
      </c>
      <c r="H8" s="12" t="inlineStr">
        <is>
          <t>PENDING</t>
        </is>
      </c>
      <c r="I8" s="12" t="inlineStr">
        <is>
          <t>PENDING</t>
        </is>
      </c>
      <c r="J8" s="12" t="inlineStr">
        <is>
          <t>PENDING</t>
        </is>
      </c>
      <c r="K8" s="12" t="inlineStr">
        <is>
          <t>PENDING</t>
        </is>
      </c>
      <c r="L8" s="12" t="inlineStr">
        <is>
          <t>PENDING</t>
        </is>
      </c>
      <c r="M8" s="12" t="inlineStr">
        <is>
          <t>PENDING</t>
        </is>
      </c>
      <c r="N8" s="12" t="inlineStr">
        <is>
          <t>PENDING</t>
        </is>
      </c>
      <c r="O8" s="12" t="inlineStr">
        <is>
          <t>PENDING</t>
        </is>
      </c>
      <c r="P8" s="12" t="inlineStr">
        <is>
          <t>PENDING</t>
        </is>
      </c>
      <c r="Q8" s="12" t="inlineStr">
        <is>
          <t>PENDING</t>
        </is>
      </c>
      <c r="R8" s="12" t="inlineStr">
        <is>
          <t>PENDING</t>
        </is>
      </c>
      <c r="S8" s="12" t="str"/>
      <c r="T8" s="12" t="str"/>
      <c r="U8" s="12" t="inlineStr">
        <is>
          <t>Direcional/briefing ausente; Copy/claim pendente de confirmação</t>
        </is>
      </c>
    </row>
    <row r="9">
      <c r="A9" s="12" t="inlineStr">
        <is>
          <t>FT26-LED01_CURVO-008</t>
        </is>
      </c>
      <c r="B9" s="12" t="inlineStr">
        <is>
          <t>LED 1 — Frente / Curvo</t>
        </is>
      </c>
      <c r="C9" s="12" t="inlineStr">
        <is>
          <t>Nestlé Vital</t>
        </is>
      </c>
      <c r="D9" s="12" t="str"/>
      <c r="E9" s="12" t="str"/>
      <c r="F9" s="12" t="inlineStr">
        <is>
          <t>PENDING</t>
        </is>
      </c>
      <c r="G9" s="12" t="inlineStr">
        <is>
          <t>PENDING</t>
        </is>
      </c>
      <c r="H9" s="12" t="inlineStr">
        <is>
          <t>PENDING</t>
        </is>
      </c>
      <c r="I9" s="12" t="inlineStr">
        <is>
          <t>PENDING</t>
        </is>
      </c>
      <c r="J9" s="12" t="inlineStr">
        <is>
          <t>PENDING</t>
        </is>
      </c>
      <c r="K9" s="12" t="inlineStr">
        <is>
          <t>PENDING</t>
        </is>
      </c>
      <c r="L9" s="12" t="inlineStr">
        <is>
          <t>PENDING</t>
        </is>
      </c>
      <c r="M9" s="12" t="inlineStr">
        <is>
          <t>PENDING</t>
        </is>
      </c>
      <c r="N9" s="12" t="inlineStr">
        <is>
          <t>PENDING</t>
        </is>
      </c>
      <c r="O9" s="12" t="inlineStr">
        <is>
          <t>PENDING</t>
        </is>
      </c>
      <c r="P9" s="12" t="inlineStr">
        <is>
          <t>PENDING</t>
        </is>
      </c>
      <c r="Q9" s="12" t="inlineStr">
        <is>
          <t>PENDING</t>
        </is>
      </c>
      <c r="R9" s="12" t="inlineStr">
        <is>
          <t>PENDING</t>
        </is>
      </c>
      <c r="S9" s="12" t="str"/>
      <c r="T9" s="12" t="str"/>
      <c r="U9" s="12" t="str"/>
    </row>
    <row r="10">
      <c r="A10" s="12" t="inlineStr">
        <is>
          <t>FT26-LED01_CURVO-009</t>
        </is>
      </c>
      <c r="B10" s="12" t="inlineStr">
        <is>
          <t>LED 1 — Frente / Curvo</t>
        </is>
      </c>
      <c r="C10" s="12" t="inlineStr">
        <is>
          <t>Nutren Proteín RTD</t>
        </is>
      </c>
      <c r="D10" s="12" t="str"/>
      <c r="E10" s="12" t="str"/>
      <c r="F10" s="12" t="inlineStr">
        <is>
          <t>PENDING</t>
        </is>
      </c>
      <c r="G10" s="12" t="inlineStr">
        <is>
          <t>PENDING</t>
        </is>
      </c>
      <c r="H10" s="12" t="inlineStr">
        <is>
          <t>PENDING</t>
        </is>
      </c>
      <c r="I10" s="12" t="inlineStr">
        <is>
          <t>PENDING</t>
        </is>
      </c>
      <c r="J10" s="12" t="inlineStr">
        <is>
          <t>PENDING</t>
        </is>
      </c>
      <c r="K10" s="12" t="inlineStr">
        <is>
          <t>PENDING</t>
        </is>
      </c>
      <c r="L10" s="12" t="inlineStr">
        <is>
          <t>PENDING</t>
        </is>
      </c>
      <c r="M10" s="12" t="inlineStr">
        <is>
          <t>PENDING</t>
        </is>
      </c>
      <c r="N10" s="12" t="inlineStr">
        <is>
          <t>PENDING</t>
        </is>
      </c>
      <c r="O10" s="12" t="inlineStr">
        <is>
          <t>PENDING</t>
        </is>
      </c>
      <c r="P10" s="12" t="inlineStr">
        <is>
          <t>PENDING</t>
        </is>
      </c>
      <c r="Q10" s="12" t="inlineStr">
        <is>
          <t>PENDING</t>
        </is>
      </c>
      <c r="R10" s="12" t="inlineStr">
        <is>
          <t>PENDING</t>
        </is>
      </c>
      <c r="S10" s="12" t="str"/>
      <c r="T10" s="12" t="str"/>
      <c r="U10" s="12" t="str"/>
    </row>
    <row r="11">
      <c r="A11" s="12" t="inlineStr">
        <is>
          <t>FT26-LED01_CURVO-010</t>
        </is>
      </c>
      <c r="B11" s="12" t="inlineStr">
        <is>
          <t>LED 1 — Frente / Curvo</t>
        </is>
      </c>
      <c r="C11" s="12" t="inlineStr">
        <is>
          <t>Nutren Proteín Creatina</t>
        </is>
      </c>
      <c r="D11" s="12" t="str"/>
      <c r="E11" s="12" t="str"/>
      <c r="F11" s="12" t="inlineStr">
        <is>
          <t>PENDING</t>
        </is>
      </c>
      <c r="G11" s="12" t="inlineStr">
        <is>
          <t>PENDING</t>
        </is>
      </c>
      <c r="H11" s="12" t="inlineStr">
        <is>
          <t>PENDING</t>
        </is>
      </c>
      <c r="I11" s="12" t="inlineStr">
        <is>
          <t>PENDING</t>
        </is>
      </c>
      <c r="J11" s="12" t="inlineStr">
        <is>
          <t>PENDING</t>
        </is>
      </c>
      <c r="K11" s="12" t="inlineStr">
        <is>
          <t>PENDING</t>
        </is>
      </c>
      <c r="L11" s="12" t="inlineStr">
        <is>
          <t>PENDING</t>
        </is>
      </c>
      <c r="M11" s="12" t="inlineStr">
        <is>
          <t>PENDING</t>
        </is>
      </c>
      <c r="N11" s="12" t="inlineStr">
        <is>
          <t>PENDING</t>
        </is>
      </c>
      <c r="O11" s="12" t="inlineStr">
        <is>
          <t>PENDING</t>
        </is>
      </c>
      <c r="P11" s="12" t="inlineStr">
        <is>
          <t>PENDING</t>
        </is>
      </c>
      <c r="Q11" s="12" t="inlineStr">
        <is>
          <t>PENDING</t>
        </is>
      </c>
      <c r="R11" s="12" t="inlineStr">
        <is>
          <t>PENDING</t>
        </is>
      </c>
      <c r="S11" s="12" t="str"/>
      <c r="T11" s="12" t="str"/>
      <c r="U11" s="12" t="str"/>
    </row>
    <row r="12">
      <c r="A12" s="12" t="inlineStr">
        <is>
          <t>FT26-LED01_CURVO-011</t>
        </is>
      </c>
      <c r="B12" s="12" t="inlineStr">
        <is>
          <t>LED 1 — Frente / Curvo</t>
        </is>
      </c>
      <c r="C12" s="12" t="inlineStr">
        <is>
          <t>Nutren Sênior</t>
        </is>
      </c>
      <c r="D12" s="12" t="str"/>
      <c r="E12" s="12" t="str"/>
      <c r="F12" s="12" t="inlineStr">
        <is>
          <t>PENDING</t>
        </is>
      </c>
      <c r="G12" s="12" t="inlineStr">
        <is>
          <t>PENDING</t>
        </is>
      </c>
      <c r="H12" s="12" t="inlineStr">
        <is>
          <t>PENDING</t>
        </is>
      </c>
      <c r="I12" s="12" t="inlineStr">
        <is>
          <t>PENDING</t>
        </is>
      </c>
      <c r="J12" s="12" t="inlineStr">
        <is>
          <t>PENDING</t>
        </is>
      </c>
      <c r="K12" s="12" t="inlineStr">
        <is>
          <t>PENDING</t>
        </is>
      </c>
      <c r="L12" s="12" t="inlineStr">
        <is>
          <t>PENDING</t>
        </is>
      </c>
      <c r="M12" s="12" t="inlineStr">
        <is>
          <t>PENDING</t>
        </is>
      </c>
      <c r="N12" s="12" t="inlineStr">
        <is>
          <t>PENDING</t>
        </is>
      </c>
      <c r="O12" s="12" t="inlineStr">
        <is>
          <t>PENDING</t>
        </is>
      </c>
      <c r="P12" s="12" t="inlineStr">
        <is>
          <t>PENDING</t>
        </is>
      </c>
      <c r="Q12" s="12" t="inlineStr">
        <is>
          <t>PENDING</t>
        </is>
      </c>
      <c r="R12" s="12" t="inlineStr">
        <is>
          <t>PENDING</t>
        </is>
      </c>
      <c r="S12" s="12" t="str"/>
      <c r="T12" s="12" t="str"/>
      <c r="U12" s="12" t="str"/>
    </row>
    <row r="13">
      <c r="A13" s="12" t="inlineStr">
        <is>
          <t>FT26-LED01_CURVO-012</t>
        </is>
      </c>
      <c r="B13" s="12" t="inlineStr">
        <is>
          <t>LED 1 — Frente / Curvo</t>
        </is>
      </c>
      <c r="C13" s="12" t="inlineStr">
        <is>
          <t>Puravida Whey Concentrado</t>
        </is>
      </c>
      <c r="D13" s="12" t="str"/>
      <c r="E13" s="12" t="str"/>
      <c r="F13" s="12" t="inlineStr">
        <is>
          <t>PENDING</t>
        </is>
      </c>
      <c r="G13" s="12" t="inlineStr">
        <is>
          <t>PENDING</t>
        </is>
      </c>
      <c r="H13" s="12" t="inlineStr">
        <is>
          <t>PENDING</t>
        </is>
      </c>
      <c r="I13" s="12" t="inlineStr">
        <is>
          <t>PENDING</t>
        </is>
      </c>
      <c r="J13" s="12" t="inlineStr">
        <is>
          <t>PENDING</t>
        </is>
      </c>
      <c r="K13" s="12" t="inlineStr">
        <is>
          <t>PENDING</t>
        </is>
      </c>
      <c r="L13" s="12" t="inlineStr">
        <is>
          <t>PENDING</t>
        </is>
      </c>
      <c r="M13" s="12" t="inlineStr">
        <is>
          <t>PENDING</t>
        </is>
      </c>
      <c r="N13" s="12" t="inlineStr">
        <is>
          <t>PENDING</t>
        </is>
      </c>
      <c r="O13" s="12" t="inlineStr">
        <is>
          <t>PENDING</t>
        </is>
      </c>
      <c r="P13" s="12" t="inlineStr">
        <is>
          <t>PENDING</t>
        </is>
      </c>
      <c r="Q13" s="12" t="inlineStr">
        <is>
          <t>PENDING</t>
        </is>
      </c>
      <c r="R13" s="12" t="inlineStr">
        <is>
          <t>PENDING</t>
        </is>
      </c>
      <c r="S13" s="12" t="str"/>
      <c r="T13" s="12" t="str"/>
      <c r="U13" s="12" t="str"/>
    </row>
    <row r="14">
      <c r="A14" s="12" t="inlineStr">
        <is>
          <t>FT26-LED01_CURVO-013</t>
        </is>
      </c>
      <c r="B14" s="12" t="inlineStr">
        <is>
          <t>LED 1 — Frente / Curvo</t>
        </is>
      </c>
      <c r="C14" s="12" t="inlineStr">
        <is>
          <t>Mucilon</t>
        </is>
      </c>
      <c r="D14" s="12" t="str"/>
      <c r="E14" s="12" t="str"/>
      <c r="F14" s="12" t="inlineStr">
        <is>
          <t>PENDING</t>
        </is>
      </c>
      <c r="G14" s="12" t="inlineStr">
        <is>
          <t>PENDING</t>
        </is>
      </c>
      <c r="H14" s="12" t="inlineStr">
        <is>
          <t>PENDING</t>
        </is>
      </c>
      <c r="I14" s="12" t="inlineStr">
        <is>
          <t>PENDING</t>
        </is>
      </c>
      <c r="J14" s="12" t="inlineStr">
        <is>
          <t>PENDING</t>
        </is>
      </c>
      <c r="K14" s="12" t="inlineStr">
        <is>
          <t>PENDING</t>
        </is>
      </c>
      <c r="L14" s="12" t="inlineStr">
        <is>
          <t>PENDING</t>
        </is>
      </c>
      <c r="M14" s="12" t="inlineStr">
        <is>
          <t>PENDING</t>
        </is>
      </c>
      <c r="N14" s="12" t="inlineStr">
        <is>
          <t>PENDING</t>
        </is>
      </c>
      <c r="O14" s="12" t="inlineStr">
        <is>
          <t>PENDING</t>
        </is>
      </c>
      <c r="P14" s="12" t="inlineStr">
        <is>
          <t>PENDING</t>
        </is>
      </c>
      <c r="Q14" s="12" t="inlineStr">
        <is>
          <t>PENDING</t>
        </is>
      </c>
      <c r="R14" s="12" t="inlineStr">
        <is>
          <t>PENDING</t>
        </is>
      </c>
      <c r="S14" s="12" t="str"/>
      <c r="T14" s="12" t="str"/>
      <c r="U14" s="12" t="inlineStr">
        <is>
          <t>Direcional/briefing ausente</t>
        </is>
      </c>
    </row>
    <row r="15">
      <c r="A15" s="12" t="inlineStr">
        <is>
          <t>FT26-LED01_CURVO-014</t>
        </is>
      </c>
      <c r="B15" s="12" t="inlineStr">
        <is>
          <t>LED 1 — Frente / Curvo</t>
        </is>
      </c>
      <c r="C15" s="12" t="inlineStr">
        <is>
          <t>Nestogeno</t>
        </is>
      </c>
      <c r="D15" s="12" t="str"/>
      <c r="E15" s="12" t="str"/>
      <c r="F15" s="12" t="inlineStr">
        <is>
          <t>PENDING</t>
        </is>
      </c>
      <c r="G15" s="12" t="inlineStr">
        <is>
          <t>PENDING</t>
        </is>
      </c>
      <c r="H15" s="12" t="inlineStr">
        <is>
          <t>PENDING</t>
        </is>
      </c>
      <c r="I15" s="12" t="inlineStr">
        <is>
          <t>PENDING</t>
        </is>
      </c>
      <c r="J15" s="12" t="inlineStr">
        <is>
          <t>PENDING</t>
        </is>
      </c>
      <c r="K15" s="12" t="inlineStr">
        <is>
          <t>PENDING</t>
        </is>
      </c>
      <c r="L15" s="12" t="inlineStr">
        <is>
          <t>PENDING</t>
        </is>
      </c>
      <c r="M15" s="12" t="inlineStr">
        <is>
          <t>PENDING</t>
        </is>
      </c>
      <c r="N15" s="12" t="inlineStr">
        <is>
          <t>PENDING</t>
        </is>
      </c>
      <c r="O15" s="12" t="inlineStr">
        <is>
          <t>PENDING</t>
        </is>
      </c>
      <c r="P15" s="12" t="inlineStr">
        <is>
          <t>PENDING</t>
        </is>
      </c>
      <c r="Q15" s="12" t="inlineStr">
        <is>
          <t>PENDING</t>
        </is>
      </c>
      <c r="R15" s="12" t="inlineStr">
        <is>
          <t>PENDING</t>
        </is>
      </c>
      <c r="S15" s="12" t="str"/>
      <c r="T15" s="12" t="str"/>
      <c r="U15" s="12" t="inlineStr">
        <is>
          <t>Responsável não definido</t>
        </is>
      </c>
    </row>
    <row r="16">
      <c r="A16" s="12" t="inlineStr">
        <is>
          <t>FT26-LED01_CURVO-015</t>
        </is>
      </c>
      <c r="B16" s="12" t="inlineStr">
        <is>
          <t>LED 1 — Frente / Curvo</t>
        </is>
      </c>
      <c r="C16" s="12" t="inlineStr">
        <is>
          <t>Nanlac</t>
        </is>
      </c>
      <c r="D16" s="12" t="str"/>
      <c r="E16" s="12" t="str"/>
      <c r="F16" s="12" t="inlineStr">
        <is>
          <t>PENDING</t>
        </is>
      </c>
      <c r="G16" s="12" t="inlineStr">
        <is>
          <t>PENDING</t>
        </is>
      </c>
      <c r="H16" s="12" t="inlineStr">
        <is>
          <t>PENDING</t>
        </is>
      </c>
      <c r="I16" s="12" t="inlineStr">
        <is>
          <t>PENDING</t>
        </is>
      </c>
      <c r="J16" s="12" t="inlineStr">
        <is>
          <t>PENDING</t>
        </is>
      </c>
      <c r="K16" s="12" t="inlineStr">
        <is>
          <t>PENDING</t>
        </is>
      </c>
      <c r="L16" s="12" t="inlineStr">
        <is>
          <t>PENDING</t>
        </is>
      </c>
      <c r="M16" s="12" t="inlineStr">
        <is>
          <t>PENDING</t>
        </is>
      </c>
      <c r="N16" s="12" t="inlineStr">
        <is>
          <t>PENDING</t>
        </is>
      </c>
      <c r="O16" s="12" t="inlineStr">
        <is>
          <t>PENDING</t>
        </is>
      </c>
      <c r="P16" s="12" t="inlineStr">
        <is>
          <t>PENDING</t>
        </is>
      </c>
      <c r="Q16" s="12" t="inlineStr">
        <is>
          <t>PENDING</t>
        </is>
      </c>
      <c r="R16" s="12" t="inlineStr">
        <is>
          <t>PENDING</t>
        </is>
      </c>
      <c r="S16" s="12" t="str"/>
      <c r="T16" s="12" t="str"/>
      <c r="U16" s="12" t="inlineStr">
        <is>
          <t>Direcional/briefing ausente</t>
        </is>
      </c>
    </row>
    <row r="17">
      <c r="A17" s="12" t="inlineStr">
        <is>
          <t>FT26-LED02_BALCAO_RECEITAS-016</t>
        </is>
      </c>
      <c r="B17" s="12" t="inlineStr">
        <is>
          <t>LED 2 — Balcão de Receitas</t>
        </is>
      </c>
      <c r="C17" s="12" t="inlineStr">
        <is>
          <t>Puravida Whey</t>
        </is>
      </c>
      <c r="D17" s="12" t="str"/>
      <c r="E17" s="12" t="str"/>
      <c r="F17" s="12" t="inlineStr">
        <is>
          <t>PENDING</t>
        </is>
      </c>
      <c r="G17" s="12" t="inlineStr">
        <is>
          <t>PENDING</t>
        </is>
      </c>
      <c r="H17" s="12" t="inlineStr">
        <is>
          <t>PENDING</t>
        </is>
      </c>
      <c r="I17" s="12" t="inlineStr">
        <is>
          <t>PENDING</t>
        </is>
      </c>
      <c r="J17" s="12" t="inlineStr">
        <is>
          <t>PENDING</t>
        </is>
      </c>
      <c r="K17" s="12" t="inlineStr">
        <is>
          <t>PENDING</t>
        </is>
      </c>
      <c r="L17" s="12" t="inlineStr">
        <is>
          <t>PENDING</t>
        </is>
      </c>
      <c r="M17" s="12" t="inlineStr">
        <is>
          <t>PENDING</t>
        </is>
      </c>
      <c r="N17" s="12" t="inlineStr">
        <is>
          <t>PENDING</t>
        </is>
      </c>
      <c r="O17" s="12" t="inlineStr">
        <is>
          <t>PENDING</t>
        </is>
      </c>
      <c r="P17" s="12" t="inlineStr">
        <is>
          <t>PENDING</t>
        </is>
      </c>
      <c r="Q17" s="12" t="inlineStr">
        <is>
          <t>PENDING</t>
        </is>
      </c>
      <c r="R17" s="12" t="inlineStr">
        <is>
          <t>PENDING</t>
        </is>
      </c>
      <c r="S17" s="12" t="str"/>
      <c r="T17" s="12" t="str"/>
      <c r="U17" s="12" t="inlineStr">
        <is>
          <t>Link de material ausente ou indireto</t>
        </is>
      </c>
    </row>
    <row r="18">
      <c r="A18" s="12" t="inlineStr">
        <is>
          <t>FT26-LED02_BALCAO_RECEITAS-017</t>
        </is>
      </c>
      <c r="B18" s="12" t="inlineStr">
        <is>
          <t>LED 2 — Balcão de Receitas</t>
        </is>
      </c>
      <c r="C18" s="12" t="inlineStr">
        <is>
          <t>Nutren Sênior</t>
        </is>
      </c>
      <c r="D18" s="12" t="str"/>
      <c r="E18" s="12" t="str"/>
      <c r="F18" s="12" t="inlineStr">
        <is>
          <t>PENDING</t>
        </is>
      </c>
      <c r="G18" s="12" t="inlineStr">
        <is>
          <t>PENDING</t>
        </is>
      </c>
      <c r="H18" s="12" t="inlineStr">
        <is>
          <t>PENDING</t>
        </is>
      </c>
      <c r="I18" s="12" t="inlineStr">
        <is>
          <t>PENDING</t>
        </is>
      </c>
      <c r="J18" s="12" t="inlineStr">
        <is>
          <t>PENDING</t>
        </is>
      </c>
      <c r="K18" s="12" t="inlineStr">
        <is>
          <t>PENDING</t>
        </is>
      </c>
      <c r="L18" s="12" t="inlineStr">
        <is>
          <t>PENDING</t>
        </is>
      </c>
      <c r="M18" s="12" t="inlineStr">
        <is>
          <t>PENDING</t>
        </is>
      </c>
      <c r="N18" s="12" t="inlineStr">
        <is>
          <t>PENDING</t>
        </is>
      </c>
      <c r="O18" s="12" t="inlineStr">
        <is>
          <t>PENDING</t>
        </is>
      </c>
      <c r="P18" s="12" t="inlineStr">
        <is>
          <t>PENDING</t>
        </is>
      </c>
      <c r="Q18" s="12" t="inlineStr">
        <is>
          <t>PENDING</t>
        </is>
      </c>
      <c r="R18" s="12" t="inlineStr">
        <is>
          <t>PENDING</t>
        </is>
      </c>
      <c r="S18" s="12" t="str"/>
      <c r="T18" s="12" t="str"/>
      <c r="U18" s="12" t="inlineStr">
        <is>
          <t>Direcional/briefing ausente; Link de material ausente ou indireto</t>
        </is>
      </c>
    </row>
    <row r="19">
      <c r="A19" s="12" t="inlineStr">
        <is>
          <t>FT26-LED02_BALCAO_RECEITAS-018</t>
        </is>
      </c>
      <c r="B19" s="12" t="inlineStr">
        <is>
          <t>LED 2 — Balcão de Receitas</t>
        </is>
      </c>
      <c r="C19" s="12" t="inlineStr">
        <is>
          <t>Molico</t>
        </is>
      </c>
      <c r="D19" s="12" t="str"/>
      <c r="E19" s="12" t="str"/>
      <c r="F19" s="12" t="inlineStr">
        <is>
          <t>PENDING</t>
        </is>
      </c>
      <c r="G19" s="12" t="inlineStr">
        <is>
          <t>PENDING</t>
        </is>
      </c>
      <c r="H19" s="12" t="inlineStr">
        <is>
          <t>PENDING</t>
        </is>
      </c>
      <c r="I19" s="12" t="inlineStr">
        <is>
          <t>PENDING</t>
        </is>
      </c>
      <c r="J19" s="12" t="inlineStr">
        <is>
          <t>PENDING</t>
        </is>
      </c>
      <c r="K19" s="12" t="inlineStr">
        <is>
          <t>PENDING</t>
        </is>
      </c>
      <c r="L19" s="12" t="inlineStr">
        <is>
          <t>PENDING</t>
        </is>
      </c>
      <c r="M19" s="12" t="inlineStr">
        <is>
          <t>PENDING</t>
        </is>
      </c>
      <c r="N19" s="12" t="inlineStr">
        <is>
          <t>PENDING</t>
        </is>
      </c>
      <c r="O19" s="12" t="inlineStr">
        <is>
          <t>PENDING</t>
        </is>
      </c>
      <c r="P19" s="12" t="inlineStr">
        <is>
          <t>PENDING</t>
        </is>
      </c>
      <c r="Q19" s="12" t="inlineStr">
        <is>
          <t>PENDING</t>
        </is>
      </c>
      <c r="R19" s="12" t="inlineStr">
        <is>
          <t>PENDING</t>
        </is>
      </c>
      <c r="S19" s="12" t="str"/>
      <c r="T19" s="12" t="str"/>
      <c r="U19" s="12" t="inlineStr">
        <is>
          <t>Responsável não definido; Direcional/briefing ausente</t>
        </is>
      </c>
    </row>
    <row r="20">
      <c r="A20" s="12" t="inlineStr">
        <is>
          <t>FT26-LED02_BALCAO_RECEITAS-019</t>
        </is>
      </c>
      <c r="B20" s="12" t="inlineStr">
        <is>
          <t>LED 2 — Balcão de Receitas</t>
        </is>
      </c>
      <c r="C20" s="12" t="inlineStr">
        <is>
          <t>Vital</t>
        </is>
      </c>
      <c r="D20" s="12" t="str"/>
      <c r="E20" s="12" t="str"/>
      <c r="F20" s="12" t="inlineStr">
        <is>
          <t>PENDING</t>
        </is>
      </c>
      <c r="G20" s="12" t="inlineStr">
        <is>
          <t>PENDING</t>
        </is>
      </c>
      <c r="H20" s="12" t="inlineStr">
        <is>
          <t>PENDING</t>
        </is>
      </c>
      <c r="I20" s="12" t="inlineStr">
        <is>
          <t>PENDING</t>
        </is>
      </c>
      <c r="J20" s="12" t="inlineStr">
        <is>
          <t>PENDING</t>
        </is>
      </c>
      <c r="K20" s="12" t="inlineStr">
        <is>
          <t>PENDING</t>
        </is>
      </c>
      <c r="L20" s="12" t="inlineStr">
        <is>
          <t>PENDING</t>
        </is>
      </c>
      <c r="M20" s="12" t="inlineStr">
        <is>
          <t>PENDING</t>
        </is>
      </c>
      <c r="N20" s="12" t="inlineStr">
        <is>
          <t>PENDING</t>
        </is>
      </c>
      <c r="O20" s="12" t="inlineStr">
        <is>
          <t>PENDING</t>
        </is>
      </c>
      <c r="P20" s="12" t="inlineStr">
        <is>
          <t>PENDING</t>
        </is>
      </c>
      <c r="Q20" s="12" t="inlineStr">
        <is>
          <t>PENDING</t>
        </is>
      </c>
      <c r="R20" s="12" t="inlineStr">
        <is>
          <t>PENDING</t>
        </is>
      </c>
      <c r="S20" s="12" t="str"/>
      <c r="T20" s="12" t="str"/>
      <c r="U20" s="12" t="inlineStr">
        <is>
          <t>Link de material ausente ou indireto</t>
        </is>
      </c>
    </row>
    <row r="21">
      <c r="A21" s="12" t="inlineStr">
        <is>
          <t>FT26-LED02_BALCAO_RECEITAS-020</t>
        </is>
      </c>
      <c r="B21" s="12" t="inlineStr">
        <is>
          <t>LED 2 — Balcão de Receitas</t>
        </is>
      </c>
      <c r="C21" s="12" t="inlineStr">
        <is>
          <t>Nutren Protein RTD</t>
        </is>
      </c>
      <c r="D21" s="12" t="str"/>
      <c r="E21" s="12" t="str"/>
      <c r="F21" s="12" t="inlineStr">
        <is>
          <t>PENDING</t>
        </is>
      </c>
      <c r="G21" s="12" t="inlineStr">
        <is>
          <t>PENDING</t>
        </is>
      </c>
      <c r="H21" s="12" t="inlineStr">
        <is>
          <t>PENDING</t>
        </is>
      </c>
      <c r="I21" s="12" t="inlineStr">
        <is>
          <t>PENDING</t>
        </is>
      </c>
      <c r="J21" s="12" t="inlineStr">
        <is>
          <t>PENDING</t>
        </is>
      </c>
      <c r="K21" s="12" t="inlineStr">
        <is>
          <t>PENDING</t>
        </is>
      </c>
      <c r="L21" s="12" t="inlineStr">
        <is>
          <t>PENDING</t>
        </is>
      </c>
      <c r="M21" s="12" t="inlineStr">
        <is>
          <t>PENDING</t>
        </is>
      </c>
      <c r="N21" s="12" t="inlineStr">
        <is>
          <t>PENDING</t>
        </is>
      </c>
      <c r="O21" s="12" t="inlineStr">
        <is>
          <t>PENDING</t>
        </is>
      </c>
      <c r="P21" s="12" t="inlineStr">
        <is>
          <t>PENDING</t>
        </is>
      </c>
      <c r="Q21" s="12" t="inlineStr">
        <is>
          <t>PENDING</t>
        </is>
      </c>
      <c r="R21" s="12" t="inlineStr">
        <is>
          <t>PENDING</t>
        </is>
      </c>
      <c r="S21" s="12" t="str"/>
      <c r="T21" s="12" t="str"/>
      <c r="U21" s="12" t="inlineStr">
        <is>
          <t>Direcional/briefing ausente; Link de material ausente ou indireto</t>
        </is>
      </c>
    </row>
    <row r="22">
      <c r="A22" s="12" t="inlineStr">
        <is>
          <t>FT26-LED02_BALCAO_RECEITAS-021</t>
        </is>
      </c>
      <c r="B22" s="12" t="inlineStr">
        <is>
          <t>LED 2 — Balcão de Receitas</t>
        </is>
      </c>
      <c r="C22" s="12" t="inlineStr">
        <is>
          <t>Nestlé Chocolates</t>
        </is>
      </c>
      <c r="D22" s="12" t="str"/>
      <c r="E22" s="12" t="str"/>
      <c r="F22" s="12" t="inlineStr">
        <is>
          <t>PENDING</t>
        </is>
      </c>
      <c r="G22" s="12" t="inlineStr">
        <is>
          <t>PENDING</t>
        </is>
      </c>
      <c r="H22" s="12" t="inlineStr">
        <is>
          <t>PENDING</t>
        </is>
      </c>
      <c r="I22" s="12" t="inlineStr">
        <is>
          <t>PENDING</t>
        </is>
      </c>
      <c r="J22" s="12" t="inlineStr">
        <is>
          <t>PENDING</t>
        </is>
      </c>
      <c r="K22" s="12" t="inlineStr">
        <is>
          <t>PENDING</t>
        </is>
      </c>
      <c r="L22" s="12" t="inlineStr">
        <is>
          <t>PENDING</t>
        </is>
      </c>
      <c r="M22" s="12" t="inlineStr">
        <is>
          <t>PENDING</t>
        </is>
      </c>
      <c r="N22" s="12" t="inlineStr">
        <is>
          <t>PENDING</t>
        </is>
      </c>
      <c r="O22" s="12" t="inlineStr">
        <is>
          <t>PENDING</t>
        </is>
      </c>
      <c r="P22" s="12" t="inlineStr">
        <is>
          <t>PENDING</t>
        </is>
      </c>
      <c r="Q22" s="12" t="inlineStr">
        <is>
          <t>PENDING</t>
        </is>
      </c>
      <c r="R22" s="12" t="inlineStr">
        <is>
          <t>PENDING</t>
        </is>
      </c>
      <c r="S22" s="12" t="str"/>
      <c r="T22" s="12" t="str"/>
      <c r="U22" s="12" t="inlineStr">
        <is>
          <t>Responsável não definido; Direcional/briefing ausente</t>
        </is>
      </c>
    </row>
    <row r="23">
      <c r="A23" s="12" t="inlineStr">
        <is>
          <t>FT26-LED02_BALCAO_RECEITAS-022</t>
        </is>
      </c>
      <c r="B23" s="12" t="inlineStr">
        <is>
          <t>LED 2 — Balcão de Receitas</t>
        </is>
      </c>
      <c r="C23" s="12" t="inlineStr">
        <is>
          <t>Nescafé Pro Energy</t>
        </is>
      </c>
      <c r="D23" s="12" t="str"/>
      <c r="E23" s="12" t="str"/>
      <c r="F23" s="12" t="inlineStr">
        <is>
          <t>PENDING</t>
        </is>
      </c>
      <c r="G23" s="12" t="inlineStr">
        <is>
          <t>PENDING</t>
        </is>
      </c>
      <c r="H23" s="12" t="inlineStr">
        <is>
          <t>PENDING</t>
        </is>
      </c>
      <c r="I23" s="12" t="inlineStr">
        <is>
          <t>PENDING</t>
        </is>
      </c>
      <c r="J23" s="12" t="inlineStr">
        <is>
          <t>PENDING</t>
        </is>
      </c>
      <c r="K23" s="12" t="inlineStr">
        <is>
          <t>PENDING</t>
        </is>
      </c>
      <c r="L23" s="12" t="inlineStr">
        <is>
          <t>PENDING</t>
        </is>
      </c>
      <c r="M23" s="12" t="inlineStr">
        <is>
          <t>PENDING</t>
        </is>
      </c>
      <c r="N23" s="12" t="inlineStr">
        <is>
          <t>PENDING</t>
        </is>
      </c>
      <c r="O23" s="12" t="inlineStr">
        <is>
          <t>PENDING</t>
        </is>
      </c>
      <c r="P23" s="12" t="inlineStr">
        <is>
          <t>PENDING</t>
        </is>
      </c>
      <c r="Q23" s="12" t="inlineStr">
        <is>
          <t>PENDING</t>
        </is>
      </c>
      <c r="R23" s="12" t="inlineStr">
        <is>
          <t>PENDING</t>
        </is>
      </c>
      <c r="S23" s="12" t="str"/>
      <c r="T23" s="12" t="str"/>
      <c r="U23" s="12" t="inlineStr">
        <is>
          <t>Responsável não definido</t>
        </is>
      </c>
    </row>
    <row r="24">
      <c r="A24" s="12" t="inlineStr">
        <is>
          <t>FT26-LED02_BALCAO_RECEITAS-023</t>
        </is>
      </c>
      <c r="B24" s="12" t="inlineStr">
        <is>
          <t>LED 2 — Balcão de Receitas</t>
        </is>
      </c>
      <c r="C24" s="12" t="inlineStr">
        <is>
          <t>Nescau Protein RTD</t>
        </is>
      </c>
      <c r="D24" s="12" t="str"/>
      <c r="E24" s="12" t="str"/>
      <c r="F24" s="12" t="inlineStr">
        <is>
          <t>PENDING</t>
        </is>
      </c>
      <c r="G24" s="12" t="inlineStr">
        <is>
          <t>PENDING</t>
        </is>
      </c>
      <c r="H24" s="12" t="inlineStr">
        <is>
          <t>PENDING</t>
        </is>
      </c>
      <c r="I24" s="12" t="inlineStr">
        <is>
          <t>PENDING</t>
        </is>
      </c>
      <c r="J24" s="12" t="inlineStr">
        <is>
          <t>PENDING</t>
        </is>
      </c>
      <c r="K24" s="12" t="inlineStr">
        <is>
          <t>PENDING</t>
        </is>
      </c>
      <c r="L24" s="12" t="inlineStr">
        <is>
          <t>PENDING</t>
        </is>
      </c>
      <c r="M24" s="12" t="inlineStr">
        <is>
          <t>PENDING</t>
        </is>
      </c>
      <c r="N24" s="12" t="inlineStr">
        <is>
          <t>PENDING</t>
        </is>
      </c>
      <c r="O24" s="12" t="inlineStr">
        <is>
          <t>PENDING</t>
        </is>
      </c>
      <c r="P24" s="12" t="inlineStr">
        <is>
          <t>PENDING</t>
        </is>
      </c>
      <c r="Q24" s="12" t="inlineStr">
        <is>
          <t>PENDING</t>
        </is>
      </c>
      <c r="R24" s="12" t="inlineStr">
        <is>
          <t>PENDING</t>
        </is>
      </c>
      <c r="S24" s="12" t="str"/>
      <c r="T24" s="12" t="str"/>
      <c r="U24" s="12" t="inlineStr">
        <is>
          <t>Responsável não definido</t>
        </is>
      </c>
    </row>
    <row r="25">
      <c r="A25" s="12" t="inlineStr">
        <is>
          <t>FT26-LED02_BALCAO_RECEITAS-024</t>
        </is>
      </c>
      <c r="B25" s="12" t="inlineStr">
        <is>
          <t>LED 2 — Balcão de Receitas</t>
        </is>
      </c>
      <c r="C25" s="12" t="inlineStr">
        <is>
          <t>Nutren Creatina</t>
        </is>
      </c>
      <c r="D25" s="12" t="str"/>
      <c r="E25" s="12" t="str"/>
      <c r="F25" s="12" t="inlineStr">
        <is>
          <t>PENDING</t>
        </is>
      </c>
      <c r="G25" s="12" t="inlineStr">
        <is>
          <t>PENDING</t>
        </is>
      </c>
      <c r="H25" s="12" t="inlineStr">
        <is>
          <t>PENDING</t>
        </is>
      </c>
      <c r="I25" s="12" t="inlineStr">
        <is>
          <t>PENDING</t>
        </is>
      </c>
      <c r="J25" s="12" t="inlineStr">
        <is>
          <t>PENDING</t>
        </is>
      </c>
      <c r="K25" s="12" t="inlineStr">
        <is>
          <t>PENDING</t>
        </is>
      </c>
      <c r="L25" s="12" t="inlineStr">
        <is>
          <t>PENDING</t>
        </is>
      </c>
      <c r="M25" s="12" t="inlineStr">
        <is>
          <t>PENDING</t>
        </is>
      </c>
      <c r="N25" s="12" t="inlineStr">
        <is>
          <t>PENDING</t>
        </is>
      </c>
      <c r="O25" s="12" t="inlineStr">
        <is>
          <t>PENDING</t>
        </is>
      </c>
      <c r="P25" s="12" t="inlineStr">
        <is>
          <t>PENDING</t>
        </is>
      </c>
      <c r="Q25" s="12" t="inlineStr">
        <is>
          <t>PENDING</t>
        </is>
      </c>
      <c r="R25" s="12" t="inlineStr">
        <is>
          <t>PENDING</t>
        </is>
      </c>
      <c r="S25" s="12" t="str"/>
      <c r="T25" s="12" t="str"/>
      <c r="U25" s="12" t="inlineStr">
        <is>
          <t>Direcional/briefing ausente; Link de material ausente ou indireto</t>
        </is>
      </c>
    </row>
    <row r="26">
      <c r="A26" s="12" t="inlineStr">
        <is>
          <t>FT26-LED03_CORREDOR_GLP1-025</t>
        </is>
      </c>
      <c r="B26" s="12" t="inlineStr">
        <is>
          <t>LED 3 — Corredor / GLP-1</t>
        </is>
      </c>
      <c r="C26" s="12" t="inlineStr">
        <is>
          <t>Vital</t>
        </is>
      </c>
      <c r="D26" s="12" t="str"/>
      <c r="E26" s="12" t="str"/>
      <c r="F26" s="12" t="inlineStr">
        <is>
          <t>PENDING</t>
        </is>
      </c>
      <c r="G26" s="12" t="inlineStr">
        <is>
          <t>PENDING</t>
        </is>
      </c>
      <c r="H26" s="12" t="inlineStr">
        <is>
          <t>PENDING</t>
        </is>
      </c>
      <c r="I26" s="12" t="inlineStr">
        <is>
          <t>PENDING</t>
        </is>
      </c>
      <c r="J26" s="12" t="inlineStr">
        <is>
          <t>PENDING</t>
        </is>
      </c>
      <c r="K26" s="12" t="inlineStr">
        <is>
          <t>PENDING</t>
        </is>
      </c>
      <c r="L26" s="12" t="inlineStr">
        <is>
          <t>PENDING</t>
        </is>
      </c>
      <c r="M26" s="12" t="inlineStr">
        <is>
          <t>PENDING</t>
        </is>
      </c>
      <c r="N26" s="12" t="inlineStr">
        <is>
          <t>PENDING</t>
        </is>
      </c>
      <c r="O26" s="12" t="inlineStr">
        <is>
          <t>PENDING</t>
        </is>
      </c>
      <c r="P26" s="12" t="inlineStr">
        <is>
          <t>PENDING</t>
        </is>
      </c>
      <c r="Q26" s="12" t="inlineStr">
        <is>
          <t>PENDING</t>
        </is>
      </c>
      <c r="R26" s="12" t="inlineStr">
        <is>
          <t>PENDING</t>
        </is>
      </c>
      <c r="S26" s="12" t="str"/>
      <c r="T26" s="12" t="str"/>
      <c r="U26" s="12" t="inlineStr">
        <is>
          <t>Responsável não definido; Link de material ausente ou indireto</t>
        </is>
      </c>
    </row>
    <row r="27">
      <c r="A27" s="12" t="inlineStr">
        <is>
          <t>FT26-LED03_CORREDOR_GLP1-026</t>
        </is>
      </c>
      <c r="B27" s="12" t="inlineStr">
        <is>
          <t>LED 3 — Corredor / GLP-1</t>
        </is>
      </c>
      <c r="C27" s="12" t="inlineStr">
        <is>
          <t>Nutren Control</t>
        </is>
      </c>
      <c r="D27" s="12" t="str"/>
      <c r="E27" s="12" t="str"/>
      <c r="F27" s="12" t="inlineStr">
        <is>
          <t>PENDING</t>
        </is>
      </c>
      <c r="G27" s="12" t="inlineStr">
        <is>
          <t>PENDING</t>
        </is>
      </c>
      <c r="H27" s="12" t="inlineStr">
        <is>
          <t>PENDING</t>
        </is>
      </c>
      <c r="I27" s="12" t="inlineStr">
        <is>
          <t>PENDING</t>
        </is>
      </c>
      <c r="J27" s="12" t="inlineStr">
        <is>
          <t>PENDING</t>
        </is>
      </c>
      <c r="K27" s="12" t="inlineStr">
        <is>
          <t>PENDING</t>
        </is>
      </c>
      <c r="L27" s="12" t="inlineStr">
        <is>
          <t>PENDING</t>
        </is>
      </c>
      <c r="M27" s="12" t="inlineStr">
        <is>
          <t>PENDING</t>
        </is>
      </c>
      <c r="N27" s="12" t="inlineStr">
        <is>
          <t>PENDING</t>
        </is>
      </c>
      <c r="O27" s="12" t="inlineStr">
        <is>
          <t>PENDING</t>
        </is>
      </c>
      <c r="P27" s="12" t="inlineStr">
        <is>
          <t>PENDING</t>
        </is>
      </c>
      <c r="Q27" s="12" t="inlineStr">
        <is>
          <t>PENDING</t>
        </is>
      </c>
      <c r="R27" s="12" t="inlineStr">
        <is>
          <t>PENDING</t>
        </is>
      </c>
      <c r="S27" s="12" t="str"/>
      <c r="T27" s="12" t="str"/>
      <c r="U27" s="12" t="inlineStr">
        <is>
          <t>Responsável não definido; Direcional/briefing ausente; Link possivelmente incorreto</t>
        </is>
      </c>
    </row>
    <row r="28">
      <c r="A28" s="12" t="inlineStr">
        <is>
          <t>FT26-LED03_CORREDOR_GLP1-027</t>
        </is>
      </c>
      <c r="B28" s="12" t="inlineStr">
        <is>
          <t>LED 3 — Corredor / GLP-1</t>
        </is>
      </c>
      <c r="C28" s="12" t="inlineStr">
        <is>
          <t>Nutren Capsulas</t>
        </is>
      </c>
      <c r="D28" s="12" t="str"/>
      <c r="E28" s="12" t="str"/>
      <c r="F28" s="12" t="inlineStr">
        <is>
          <t>PENDING</t>
        </is>
      </c>
      <c r="G28" s="12" t="inlineStr">
        <is>
          <t>PENDING</t>
        </is>
      </c>
      <c r="H28" s="12" t="inlineStr">
        <is>
          <t>PENDING</t>
        </is>
      </c>
      <c r="I28" s="12" t="inlineStr">
        <is>
          <t>PENDING</t>
        </is>
      </c>
      <c r="J28" s="12" t="inlineStr">
        <is>
          <t>PENDING</t>
        </is>
      </c>
      <c r="K28" s="12" t="inlineStr">
        <is>
          <t>PENDING</t>
        </is>
      </c>
      <c r="L28" s="12" t="inlineStr">
        <is>
          <t>PENDING</t>
        </is>
      </c>
      <c r="M28" s="12" t="inlineStr">
        <is>
          <t>PENDING</t>
        </is>
      </c>
      <c r="N28" s="12" t="inlineStr">
        <is>
          <t>PENDING</t>
        </is>
      </c>
      <c r="O28" s="12" t="inlineStr">
        <is>
          <t>PENDING</t>
        </is>
      </c>
      <c r="P28" s="12" t="inlineStr">
        <is>
          <t>PENDING</t>
        </is>
      </c>
      <c r="Q28" s="12" t="inlineStr">
        <is>
          <t>PENDING</t>
        </is>
      </c>
      <c r="R28" s="12" t="inlineStr">
        <is>
          <t>PENDING</t>
        </is>
      </c>
      <c r="S28" s="12" t="str"/>
      <c r="T28" s="12" t="str"/>
      <c r="U28" s="12" t="inlineStr">
        <is>
          <t>Responsável não definido</t>
        </is>
      </c>
    </row>
    <row r="29">
      <c r="A29" s="12" t="inlineStr">
        <is>
          <t>FT26-LED03_CORREDOR_GLP1-028</t>
        </is>
      </c>
      <c r="B29" s="12" t="inlineStr">
        <is>
          <t>LED 3 — Corredor / GLP-1</t>
        </is>
      </c>
      <c r="C29" s="12" t="inlineStr">
        <is>
          <t>Materna</t>
        </is>
      </c>
      <c r="D29" s="12" t="str"/>
      <c r="E29" s="12" t="str"/>
      <c r="F29" s="12" t="inlineStr">
        <is>
          <t>PENDING</t>
        </is>
      </c>
      <c r="G29" s="12" t="inlineStr">
        <is>
          <t>PENDING</t>
        </is>
      </c>
      <c r="H29" s="12" t="inlineStr">
        <is>
          <t>PENDING</t>
        </is>
      </c>
      <c r="I29" s="12" t="inlineStr">
        <is>
          <t>PENDING</t>
        </is>
      </c>
      <c r="J29" s="12" t="inlineStr">
        <is>
          <t>PENDING</t>
        </is>
      </c>
      <c r="K29" s="12" t="inlineStr">
        <is>
          <t>PENDING</t>
        </is>
      </c>
      <c r="L29" s="12" t="inlineStr">
        <is>
          <t>PENDING</t>
        </is>
      </c>
      <c r="M29" s="12" t="inlineStr">
        <is>
          <t>PENDING</t>
        </is>
      </c>
      <c r="N29" s="12" t="inlineStr">
        <is>
          <t>PENDING</t>
        </is>
      </c>
      <c r="O29" s="12" t="inlineStr">
        <is>
          <t>PENDING</t>
        </is>
      </c>
      <c r="P29" s="12" t="inlineStr">
        <is>
          <t>PENDING</t>
        </is>
      </c>
      <c r="Q29" s="12" t="inlineStr">
        <is>
          <t>PENDING</t>
        </is>
      </c>
      <c r="R29" s="12" t="inlineStr">
        <is>
          <t>PENDING</t>
        </is>
      </c>
      <c r="S29" s="12" t="str"/>
      <c r="T29" s="12" t="str"/>
      <c r="U29" s="12" t="inlineStr">
        <is>
          <t>Responsável não definido; Direcional/briefing ausente; Link de material ausente ou indireto</t>
        </is>
      </c>
    </row>
    <row r="30">
      <c r="A30" s="12" t="inlineStr">
        <is>
          <t>FT26-LED03_CORREDOR_GLP1-029</t>
        </is>
      </c>
      <c r="B30" s="12" t="inlineStr">
        <is>
          <t>LED 3 — Corredor / GLP-1</t>
        </is>
      </c>
      <c r="C30" s="12" t="inlineStr">
        <is>
          <t>Puravida (Portfólio completo)</t>
        </is>
      </c>
      <c r="D30" s="12" t="str"/>
      <c r="E30" s="12" t="str"/>
      <c r="F30" s="12" t="inlineStr">
        <is>
          <t>PENDING</t>
        </is>
      </c>
      <c r="G30" s="12" t="inlineStr">
        <is>
          <t>PENDING</t>
        </is>
      </c>
      <c r="H30" s="12" t="inlineStr">
        <is>
          <t>PENDING</t>
        </is>
      </c>
      <c r="I30" s="12" t="inlineStr">
        <is>
          <t>PENDING</t>
        </is>
      </c>
      <c r="J30" s="12" t="inlineStr">
        <is>
          <t>PENDING</t>
        </is>
      </c>
      <c r="K30" s="12" t="inlineStr">
        <is>
          <t>PENDING</t>
        </is>
      </c>
      <c r="L30" s="12" t="inlineStr">
        <is>
          <t>PENDING</t>
        </is>
      </c>
      <c r="M30" s="12" t="inlineStr">
        <is>
          <t>PENDING</t>
        </is>
      </c>
      <c r="N30" s="12" t="inlineStr">
        <is>
          <t>PENDING</t>
        </is>
      </c>
      <c r="O30" s="12" t="inlineStr">
        <is>
          <t>PENDING</t>
        </is>
      </c>
      <c r="P30" s="12" t="inlineStr">
        <is>
          <t>PENDING</t>
        </is>
      </c>
      <c r="Q30" s="12" t="inlineStr">
        <is>
          <t>PENDING</t>
        </is>
      </c>
      <c r="R30" s="12" t="inlineStr">
        <is>
          <t>PENDING</t>
        </is>
      </c>
      <c r="S30" s="12" t="str"/>
      <c r="T30" s="12" t="str"/>
      <c r="U30" s="12" t="inlineStr">
        <is>
          <t>Responsável não definido; Direcional/briefing ausente</t>
        </is>
      </c>
    </row>
    <row r="31">
      <c r="A31" s="12" t="inlineStr">
        <is>
          <t>FT26-LED03_CORREDOR_GLP1-030</t>
        </is>
      </c>
      <c r="B31" s="12" t="inlineStr">
        <is>
          <t>LED 3 — Corredor / GLP-1</t>
        </is>
      </c>
      <c r="C31" s="12" t="inlineStr">
        <is>
          <t>Molico</t>
        </is>
      </c>
      <c r="D31" s="12" t="str"/>
      <c r="E31" s="12" t="str"/>
      <c r="F31" s="12" t="inlineStr">
        <is>
          <t>PENDING</t>
        </is>
      </c>
      <c r="G31" s="12" t="inlineStr">
        <is>
          <t>PENDING</t>
        </is>
      </c>
      <c r="H31" s="12" t="inlineStr">
        <is>
          <t>PENDING</t>
        </is>
      </c>
      <c r="I31" s="12" t="inlineStr">
        <is>
          <t>PENDING</t>
        </is>
      </c>
      <c r="J31" s="12" t="inlineStr">
        <is>
          <t>PENDING</t>
        </is>
      </c>
      <c r="K31" s="12" t="inlineStr">
        <is>
          <t>PENDING</t>
        </is>
      </c>
      <c r="L31" s="12" t="inlineStr">
        <is>
          <t>PENDING</t>
        </is>
      </c>
      <c r="M31" s="12" t="inlineStr">
        <is>
          <t>PENDING</t>
        </is>
      </c>
      <c r="N31" s="12" t="inlineStr">
        <is>
          <t>PENDING</t>
        </is>
      </c>
      <c r="O31" s="12" t="inlineStr">
        <is>
          <t>PENDING</t>
        </is>
      </c>
      <c r="P31" s="12" t="inlineStr">
        <is>
          <t>PENDING</t>
        </is>
      </c>
      <c r="Q31" s="12" t="inlineStr">
        <is>
          <t>PENDING</t>
        </is>
      </c>
      <c r="R31" s="12" t="inlineStr">
        <is>
          <t>PENDING</t>
        </is>
      </c>
      <c r="S31" s="12" t="str"/>
      <c r="T31" s="12" t="str"/>
      <c r="U31" s="12" t="inlineStr">
        <is>
          <t>Responsável não definido; Link de material ausente ou indireto</t>
        </is>
      </c>
    </row>
    <row r="32">
      <c r="A32" s="12" t="inlineStr">
        <is>
          <t>FT26-LED04_PAINEL_INTERATIVO-031</t>
        </is>
      </c>
      <c r="B32" s="12" t="inlineStr">
        <is>
          <t>LED 4 — Painel Interativo</t>
        </is>
      </c>
      <c r="C32" s="12" t="inlineStr">
        <is>
          <t>Intro Nina</t>
        </is>
      </c>
      <c r="D32" s="12" t="str"/>
      <c r="E32" s="12" t="str"/>
      <c r="F32" s="12" t="inlineStr">
        <is>
          <t>PENDING</t>
        </is>
      </c>
      <c r="G32" s="12" t="inlineStr">
        <is>
          <t>PENDING</t>
        </is>
      </c>
      <c r="H32" s="12" t="inlineStr">
        <is>
          <t>PENDING</t>
        </is>
      </c>
      <c r="I32" s="12" t="inlineStr">
        <is>
          <t>PENDING</t>
        </is>
      </c>
      <c r="J32" s="12" t="inlineStr">
        <is>
          <t>PENDING</t>
        </is>
      </c>
      <c r="K32" s="12" t="inlineStr">
        <is>
          <t>PENDING</t>
        </is>
      </c>
      <c r="L32" s="12" t="inlineStr">
        <is>
          <t>PENDING</t>
        </is>
      </c>
      <c r="M32" s="12" t="inlineStr">
        <is>
          <t>PENDING</t>
        </is>
      </c>
      <c r="N32" s="12" t="inlineStr">
        <is>
          <t>PENDING</t>
        </is>
      </c>
      <c r="O32" s="12" t="inlineStr">
        <is>
          <t>PENDING</t>
        </is>
      </c>
      <c r="P32" s="12" t="inlineStr">
        <is>
          <t>PENDING</t>
        </is>
      </c>
      <c r="Q32" s="12" t="inlineStr">
        <is>
          <t>PENDING</t>
        </is>
      </c>
      <c r="R32" s="12" t="inlineStr">
        <is>
          <t>PENDING</t>
        </is>
      </c>
      <c r="S32" s="12" t="str"/>
      <c r="T32" s="12" t="str"/>
      <c r="U32" s="12" t="inlineStr">
        <is>
          <t>Responsável não definido; Link de material ausente ou indireto</t>
        </is>
      </c>
    </row>
    <row r="33">
      <c r="A33" s="12" t="inlineStr">
        <is>
          <t>FT26-LED04_PAINEL_INTERATIVO-032</t>
        </is>
      </c>
      <c r="B33" s="12" t="inlineStr">
        <is>
          <t>LED 4 — Painel Interativo</t>
        </is>
      </c>
      <c r="C33" s="12" t="inlineStr">
        <is>
          <t>Materna</t>
        </is>
      </c>
      <c r="D33" s="12" t="str"/>
      <c r="E33" s="12" t="str"/>
      <c r="F33" s="12" t="inlineStr">
        <is>
          <t>PENDING</t>
        </is>
      </c>
      <c r="G33" s="12" t="inlineStr">
        <is>
          <t>PENDING</t>
        </is>
      </c>
      <c r="H33" s="12" t="inlineStr">
        <is>
          <t>PENDING</t>
        </is>
      </c>
      <c r="I33" s="12" t="inlineStr">
        <is>
          <t>PENDING</t>
        </is>
      </c>
      <c r="J33" s="12" t="inlineStr">
        <is>
          <t>PENDING</t>
        </is>
      </c>
      <c r="K33" s="12" t="inlineStr">
        <is>
          <t>PENDING</t>
        </is>
      </c>
      <c r="L33" s="12" t="inlineStr">
        <is>
          <t>PENDING</t>
        </is>
      </c>
      <c r="M33" s="12" t="inlineStr">
        <is>
          <t>PENDING</t>
        </is>
      </c>
      <c r="N33" s="12" t="inlineStr">
        <is>
          <t>PENDING</t>
        </is>
      </c>
      <c r="O33" s="12" t="inlineStr">
        <is>
          <t>PENDING</t>
        </is>
      </c>
      <c r="P33" s="12" t="inlineStr">
        <is>
          <t>PENDING</t>
        </is>
      </c>
      <c r="Q33" s="12" t="inlineStr">
        <is>
          <t>PENDING</t>
        </is>
      </c>
      <c r="R33" s="12" t="inlineStr">
        <is>
          <t>PENDING</t>
        </is>
      </c>
      <c r="S33" s="12" t="str"/>
      <c r="T33" s="12" t="str"/>
      <c r="U33" s="12" t="inlineStr">
        <is>
          <t>Responsável não definido; Direcional/briefing ausente; Link de material ausente ou indireto; Link expirado</t>
        </is>
      </c>
    </row>
    <row r="34">
      <c r="A34" s="12" t="inlineStr">
        <is>
          <t>FT26-LED04_PAINEL_INTERATIVO-033</t>
        </is>
      </c>
      <c r="B34" s="12" t="inlineStr">
        <is>
          <t>LED 4 — Painel Interativo</t>
        </is>
      </c>
      <c r="C34" s="12" t="inlineStr">
        <is>
          <t>Nan Science PRO e APLV</t>
        </is>
      </c>
      <c r="D34" s="12" t="str"/>
      <c r="E34" s="12" t="str"/>
      <c r="F34" s="12" t="inlineStr">
        <is>
          <t>PENDING</t>
        </is>
      </c>
      <c r="G34" s="12" t="inlineStr">
        <is>
          <t>PENDING</t>
        </is>
      </c>
      <c r="H34" s="12" t="inlineStr">
        <is>
          <t>PENDING</t>
        </is>
      </c>
      <c r="I34" s="12" t="inlineStr">
        <is>
          <t>PENDING</t>
        </is>
      </c>
      <c r="J34" s="12" t="inlineStr">
        <is>
          <t>PENDING</t>
        </is>
      </c>
      <c r="K34" s="12" t="inlineStr">
        <is>
          <t>PENDING</t>
        </is>
      </c>
      <c r="L34" s="12" t="inlineStr">
        <is>
          <t>PENDING</t>
        </is>
      </c>
      <c r="M34" s="12" t="inlineStr">
        <is>
          <t>PENDING</t>
        </is>
      </c>
      <c r="N34" s="12" t="inlineStr">
        <is>
          <t>PENDING</t>
        </is>
      </c>
      <c r="O34" s="12" t="inlineStr">
        <is>
          <t>PENDING</t>
        </is>
      </c>
      <c r="P34" s="12" t="inlineStr">
        <is>
          <t>PENDING</t>
        </is>
      </c>
      <c r="Q34" s="12" t="inlineStr">
        <is>
          <t>PENDING</t>
        </is>
      </c>
      <c r="R34" s="12" t="inlineStr">
        <is>
          <t>PENDING</t>
        </is>
      </c>
      <c r="S34" s="12" t="str"/>
      <c r="T34" s="12" t="str"/>
      <c r="U34" s="12" t="inlineStr">
        <is>
          <t>Responsável não definido; Direcional/briefing ausente</t>
        </is>
      </c>
    </row>
    <row r="35">
      <c r="A35" s="12" t="inlineStr">
        <is>
          <t>FT26-LED04_PAINEL_INTERATIVO-034</t>
        </is>
      </c>
      <c r="B35" s="12" t="inlineStr">
        <is>
          <t>LED 4 — Painel Interativo</t>
        </is>
      </c>
      <c r="C35" s="12" t="inlineStr">
        <is>
          <t>Comfor</t>
        </is>
      </c>
      <c r="D35" s="12" t="str"/>
      <c r="E35" s="12" t="str"/>
      <c r="F35" s="12" t="inlineStr">
        <is>
          <t>PENDING</t>
        </is>
      </c>
      <c r="G35" s="12" t="inlineStr">
        <is>
          <t>PENDING</t>
        </is>
      </c>
      <c r="H35" s="12" t="inlineStr">
        <is>
          <t>PENDING</t>
        </is>
      </c>
      <c r="I35" s="12" t="inlineStr">
        <is>
          <t>PENDING</t>
        </is>
      </c>
      <c r="J35" s="12" t="inlineStr">
        <is>
          <t>PENDING</t>
        </is>
      </c>
      <c r="K35" s="12" t="inlineStr">
        <is>
          <t>PENDING</t>
        </is>
      </c>
      <c r="L35" s="12" t="inlineStr">
        <is>
          <t>PENDING</t>
        </is>
      </c>
      <c r="M35" s="12" t="inlineStr">
        <is>
          <t>PENDING</t>
        </is>
      </c>
      <c r="N35" s="12" t="inlineStr">
        <is>
          <t>PENDING</t>
        </is>
      </c>
      <c r="O35" s="12" t="inlineStr">
        <is>
          <t>PENDING</t>
        </is>
      </c>
      <c r="P35" s="12" t="inlineStr">
        <is>
          <t>PENDING</t>
        </is>
      </c>
      <c r="Q35" s="12" t="inlineStr">
        <is>
          <t>PENDING</t>
        </is>
      </c>
      <c r="R35" s="12" t="inlineStr">
        <is>
          <t>PENDING</t>
        </is>
      </c>
      <c r="S35" s="12" t="str"/>
      <c r="T35" s="12" t="str"/>
      <c r="U35" s="12" t="inlineStr">
        <is>
          <t>Responsável não definido; Direcional/briefing ausente; Link de material ausente ou indireto</t>
        </is>
      </c>
    </row>
    <row r="36">
      <c r="A36" s="12" t="inlineStr">
        <is>
          <t>FT26-LED04_PAINEL_INTERATIVO-035</t>
        </is>
      </c>
      <c r="B36" s="12" t="inlineStr">
        <is>
          <t>LED 4 — Painel Interativo</t>
        </is>
      </c>
      <c r="C36" s="12" t="inlineStr">
        <is>
          <t>Supreme</t>
        </is>
      </c>
      <c r="D36" s="12" t="str"/>
      <c r="E36" s="12" t="str"/>
      <c r="F36" s="12" t="inlineStr">
        <is>
          <t>PENDING</t>
        </is>
      </c>
      <c r="G36" s="12" t="inlineStr">
        <is>
          <t>PENDING</t>
        </is>
      </c>
      <c r="H36" s="12" t="inlineStr">
        <is>
          <t>PENDING</t>
        </is>
      </c>
      <c r="I36" s="12" t="inlineStr">
        <is>
          <t>PENDING</t>
        </is>
      </c>
      <c r="J36" s="12" t="inlineStr">
        <is>
          <t>PENDING</t>
        </is>
      </c>
      <c r="K36" s="12" t="inlineStr">
        <is>
          <t>PENDING</t>
        </is>
      </c>
      <c r="L36" s="12" t="inlineStr">
        <is>
          <t>PENDING</t>
        </is>
      </c>
      <c r="M36" s="12" t="inlineStr">
        <is>
          <t>PENDING</t>
        </is>
      </c>
      <c r="N36" s="12" t="inlineStr">
        <is>
          <t>PENDING</t>
        </is>
      </c>
      <c r="O36" s="12" t="inlineStr">
        <is>
          <t>PENDING</t>
        </is>
      </c>
      <c r="P36" s="12" t="inlineStr">
        <is>
          <t>PENDING</t>
        </is>
      </c>
      <c r="Q36" s="12" t="inlineStr">
        <is>
          <t>PENDING</t>
        </is>
      </c>
      <c r="R36" s="12" t="inlineStr">
        <is>
          <t>PENDING</t>
        </is>
      </c>
      <c r="S36" s="12" t="str"/>
      <c r="T36" s="12" t="str"/>
      <c r="U36" s="12" t="inlineStr">
        <is>
          <t>Responsável não definido; Direcional/briefing ausente; Link de material ausente ou indireto</t>
        </is>
      </c>
    </row>
    <row r="37">
      <c r="A37" s="12" t="inlineStr">
        <is>
          <t>FT26-LED04_PAINEL_INTERATIVO-036</t>
        </is>
      </c>
      <c r="B37" s="12" t="inlineStr">
        <is>
          <t>LED 4 — Painel Interativo</t>
        </is>
      </c>
      <c r="C37" s="12" t="inlineStr">
        <is>
          <t>Ninho Fases 1+ e 3+</t>
        </is>
      </c>
      <c r="D37" s="12" t="str"/>
      <c r="E37" s="12" t="str"/>
      <c r="F37" s="12" t="inlineStr">
        <is>
          <t>PENDING</t>
        </is>
      </c>
      <c r="G37" s="12" t="inlineStr">
        <is>
          <t>PENDING</t>
        </is>
      </c>
      <c r="H37" s="12" t="inlineStr">
        <is>
          <t>PENDING</t>
        </is>
      </c>
      <c r="I37" s="12" t="inlineStr">
        <is>
          <t>PENDING</t>
        </is>
      </c>
      <c r="J37" s="12" t="inlineStr">
        <is>
          <t>PENDING</t>
        </is>
      </c>
      <c r="K37" s="12" t="inlineStr">
        <is>
          <t>PENDING</t>
        </is>
      </c>
      <c r="L37" s="12" t="inlineStr">
        <is>
          <t>PENDING</t>
        </is>
      </c>
      <c r="M37" s="12" t="inlineStr">
        <is>
          <t>PENDING</t>
        </is>
      </c>
      <c r="N37" s="12" t="inlineStr">
        <is>
          <t>PENDING</t>
        </is>
      </c>
      <c r="O37" s="12" t="inlineStr">
        <is>
          <t>PENDING</t>
        </is>
      </c>
      <c r="P37" s="12" t="inlineStr">
        <is>
          <t>PENDING</t>
        </is>
      </c>
      <c r="Q37" s="12" t="inlineStr">
        <is>
          <t>PENDING</t>
        </is>
      </c>
      <c r="R37" s="12" t="inlineStr">
        <is>
          <t>PENDING</t>
        </is>
      </c>
      <c r="S37" s="12" t="str"/>
      <c r="T37" s="12" t="str"/>
      <c r="U37" s="12" t="inlineStr">
        <is>
          <t>Responsável não definido; Direcional/briefing ausente; Link de material ausente ou indireto</t>
        </is>
      </c>
    </row>
    <row r="38">
      <c r="A38" s="12" t="inlineStr">
        <is>
          <t>FT26-LED04_PAINEL_INTERATIVO-037</t>
        </is>
      </c>
      <c r="B38" s="12" t="inlineStr">
        <is>
          <t>LED 4 — Painel Interativo</t>
        </is>
      </c>
      <c r="C38" s="12" t="inlineStr">
        <is>
          <t>Vital</t>
        </is>
      </c>
      <c r="D38" s="12" t="str"/>
      <c r="E38" s="12" t="str"/>
      <c r="F38" s="12" t="inlineStr">
        <is>
          <t>PENDING</t>
        </is>
      </c>
      <c r="G38" s="12" t="inlineStr">
        <is>
          <t>PENDING</t>
        </is>
      </c>
      <c r="H38" s="12" t="inlineStr">
        <is>
          <t>PENDING</t>
        </is>
      </c>
      <c r="I38" s="12" t="inlineStr">
        <is>
          <t>PENDING</t>
        </is>
      </c>
      <c r="J38" s="12" t="inlineStr">
        <is>
          <t>PENDING</t>
        </is>
      </c>
      <c r="K38" s="12" t="inlineStr">
        <is>
          <t>PENDING</t>
        </is>
      </c>
      <c r="L38" s="12" t="inlineStr">
        <is>
          <t>PENDING</t>
        </is>
      </c>
      <c r="M38" s="12" t="inlineStr">
        <is>
          <t>PENDING</t>
        </is>
      </c>
      <c r="N38" s="12" t="inlineStr">
        <is>
          <t>PENDING</t>
        </is>
      </c>
      <c r="O38" s="12" t="inlineStr">
        <is>
          <t>PENDING</t>
        </is>
      </c>
      <c r="P38" s="12" t="inlineStr">
        <is>
          <t>PENDING</t>
        </is>
      </c>
      <c r="Q38" s="12" t="inlineStr">
        <is>
          <t>PENDING</t>
        </is>
      </c>
      <c r="R38" s="12" t="inlineStr">
        <is>
          <t>PENDING</t>
        </is>
      </c>
      <c r="S38" s="12" t="str"/>
      <c r="T38" s="12" t="str"/>
      <c r="U38" s="12" t="inlineStr">
        <is>
          <t>Responsável não definido; Direcional/briefing ausente; Link de material ausente ou indireto</t>
        </is>
      </c>
    </row>
    <row r="39">
      <c r="A39" s="12" t="inlineStr">
        <is>
          <t>FT26-LED04_PAINEL_INTERATIVO-038</t>
        </is>
      </c>
      <c r="B39" s="12" t="inlineStr">
        <is>
          <t>LED 4 — Painel Interativo</t>
        </is>
      </c>
      <c r="C39" s="12" t="inlineStr">
        <is>
          <t>Nutren Protein e Nutren Creatina</t>
        </is>
      </c>
      <c r="D39" s="12" t="str"/>
      <c r="E39" s="12" t="str"/>
      <c r="F39" s="12" t="inlineStr">
        <is>
          <t>PENDING</t>
        </is>
      </c>
      <c r="G39" s="12" t="inlineStr">
        <is>
          <t>PENDING</t>
        </is>
      </c>
      <c r="H39" s="12" t="inlineStr">
        <is>
          <t>PENDING</t>
        </is>
      </c>
      <c r="I39" s="12" t="inlineStr">
        <is>
          <t>PENDING</t>
        </is>
      </c>
      <c r="J39" s="12" t="inlineStr">
        <is>
          <t>PENDING</t>
        </is>
      </c>
      <c r="K39" s="12" t="inlineStr">
        <is>
          <t>PENDING</t>
        </is>
      </c>
      <c r="L39" s="12" t="inlineStr">
        <is>
          <t>PENDING</t>
        </is>
      </c>
      <c r="M39" s="12" t="inlineStr">
        <is>
          <t>PENDING</t>
        </is>
      </c>
      <c r="N39" s="12" t="inlineStr">
        <is>
          <t>PENDING</t>
        </is>
      </c>
      <c r="O39" s="12" t="inlineStr">
        <is>
          <t>PENDING</t>
        </is>
      </c>
      <c r="P39" s="12" t="inlineStr">
        <is>
          <t>PENDING</t>
        </is>
      </c>
      <c r="Q39" s="12" t="inlineStr">
        <is>
          <t>PENDING</t>
        </is>
      </c>
      <c r="R39" s="12" t="inlineStr">
        <is>
          <t>PENDING</t>
        </is>
      </c>
      <c r="S39" s="12" t="str"/>
      <c r="T39" s="12" t="str"/>
      <c r="U39" s="12" t="inlineStr">
        <is>
          <t>Responsável não definido; Direcional/briefing ausente; Link de material ausente ou indireto</t>
        </is>
      </c>
    </row>
    <row r="40">
      <c r="A40" s="12" t="inlineStr">
        <is>
          <t>FT26-LED04_PAINEL_INTERATIVO-039</t>
        </is>
      </c>
      <c r="B40" s="12" t="inlineStr">
        <is>
          <t>LED 4 — Painel Interativo</t>
        </is>
      </c>
      <c r="C40" s="12" t="inlineStr">
        <is>
          <t>Whey Protein Puravida</t>
        </is>
      </c>
      <c r="D40" s="12" t="str"/>
      <c r="E40" s="12" t="str"/>
      <c r="F40" s="12" t="inlineStr">
        <is>
          <t>PENDING</t>
        </is>
      </c>
      <c r="G40" s="12" t="inlineStr">
        <is>
          <t>PENDING</t>
        </is>
      </c>
      <c r="H40" s="12" t="inlineStr">
        <is>
          <t>PENDING</t>
        </is>
      </c>
      <c r="I40" s="12" t="inlineStr">
        <is>
          <t>PENDING</t>
        </is>
      </c>
      <c r="J40" s="12" t="inlineStr">
        <is>
          <t>PENDING</t>
        </is>
      </c>
      <c r="K40" s="12" t="inlineStr">
        <is>
          <t>PENDING</t>
        </is>
      </c>
      <c r="L40" s="12" t="inlineStr">
        <is>
          <t>PENDING</t>
        </is>
      </c>
      <c r="M40" s="12" t="inlineStr">
        <is>
          <t>PENDING</t>
        </is>
      </c>
      <c r="N40" s="12" t="inlineStr">
        <is>
          <t>PENDING</t>
        </is>
      </c>
      <c r="O40" s="12" t="inlineStr">
        <is>
          <t>PENDING</t>
        </is>
      </c>
      <c r="P40" s="12" t="inlineStr">
        <is>
          <t>PENDING</t>
        </is>
      </c>
      <c r="Q40" s="12" t="inlineStr">
        <is>
          <t>PENDING</t>
        </is>
      </c>
      <c r="R40" s="12" t="inlineStr">
        <is>
          <t>PENDING</t>
        </is>
      </c>
      <c r="S40" s="12" t="str"/>
      <c r="T40" s="12" t="str"/>
      <c r="U40" s="12" t="inlineStr">
        <is>
          <t>Responsável não definido; Direcional/briefing ausente; Link de material ausente ou indireto</t>
        </is>
      </c>
    </row>
    <row r="41">
      <c r="A41" s="12" t="inlineStr">
        <is>
          <t>FT26-LED04_PAINEL_INTERATIVO-040</t>
        </is>
      </c>
      <c r="B41" s="12" t="inlineStr">
        <is>
          <t>LED 4 — Painel Interativo</t>
        </is>
      </c>
      <c r="C41" s="12" t="inlineStr">
        <is>
          <t>Nutren Sênior</t>
        </is>
      </c>
      <c r="D41" s="12" t="str"/>
      <c r="E41" s="12" t="str"/>
      <c r="F41" s="12" t="inlineStr">
        <is>
          <t>PENDING</t>
        </is>
      </c>
      <c r="G41" s="12" t="inlineStr">
        <is>
          <t>PENDING</t>
        </is>
      </c>
      <c r="H41" s="12" t="inlineStr">
        <is>
          <t>PENDING</t>
        </is>
      </c>
      <c r="I41" s="12" t="inlineStr">
        <is>
          <t>PENDING</t>
        </is>
      </c>
      <c r="J41" s="12" t="inlineStr">
        <is>
          <t>PENDING</t>
        </is>
      </c>
      <c r="K41" s="12" t="inlineStr">
        <is>
          <t>PENDING</t>
        </is>
      </c>
      <c r="L41" s="12" t="inlineStr">
        <is>
          <t>PENDING</t>
        </is>
      </c>
      <c r="M41" s="12" t="inlineStr">
        <is>
          <t>PENDING</t>
        </is>
      </c>
      <c r="N41" s="12" t="inlineStr">
        <is>
          <t>PENDING</t>
        </is>
      </c>
      <c r="O41" s="12" t="inlineStr">
        <is>
          <t>PENDING</t>
        </is>
      </c>
      <c r="P41" s="12" t="inlineStr">
        <is>
          <t>PENDING</t>
        </is>
      </c>
      <c r="Q41" s="12" t="inlineStr">
        <is>
          <t>PENDING</t>
        </is>
      </c>
      <c r="R41" s="12" t="inlineStr">
        <is>
          <t>PENDING</t>
        </is>
      </c>
      <c r="S41" s="12" t="str"/>
      <c r="T41" s="12" t="str"/>
      <c r="U41" s="12" t="inlineStr">
        <is>
          <t>Responsável não definido; Direcional/briefing ausente; Link de material ausente ou indireto</t>
        </is>
      </c>
    </row>
    <row r="42">
      <c r="A42" s="12" t="inlineStr">
        <is>
          <t>FT26-LEDS_GONDOLAS-041</t>
        </is>
      </c>
      <c r="B42" s="12" t="inlineStr">
        <is>
          <t>LEDs de Gôndolas</t>
        </is>
      </c>
      <c r="C42" s="12" t="inlineStr">
        <is>
          <t>Materna</t>
        </is>
      </c>
      <c r="D42" s="12" t="str"/>
      <c r="E42" s="12" t="str"/>
      <c r="F42" s="12" t="inlineStr">
        <is>
          <t>PENDING</t>
        </is>
      </c>
      <c r="G42" s="12" t="inlineStr">
        <is>
          <t>PENDING</t>
        </is>
      </c>
      <c r="H42" s="12" t="inlineStr">
        <is>
          <t>PENDING</t>
        </is>
      </c>
      <c r="I42" s="12" t="inlineStr">
        <is>
          <t>PENDING</t>
        </is>
      </c>
      <c r="J42" s="12" t="inlineStr">
        <is>
          <t>PENDING</t>
        </is>
      </c>
      <c r="K42" s="12" t="inlineStr">
        <is>
          <t>PENDING</t>
        </is>
      </c>
      <c r="L42" s="12" t="inlineStr">
        <is>
          <t>PENDING</t>
        </is>
      </c>
      <c r="M42" s="12" t="inlineStr">
        <is>
          <t>PENDING</t>
        </is>
      </c>
      <c r="N42" s="12" t="inlineStr">
        <is>
          <t>PENDING</t>
        </is>
      </c>
      <c r="O42" s="12" t="inlineStr">
        <is>
          <t>PENDING</t>
        </is>
      </c>
      <c r="P42" s="12" t="inlineStr">
        <is>
          <t>PENDING</t>
        </is>
      </c>
      <c r="Q42" s="12" t="inlineStr">
        <is>
          <t>PENDING</t>
        </is>
      </c>
      <c r="R42" s="12" t="inlineStr">
        <is>
          <t>PENDING</t>
        </is>
      </c>
      <c r="S42" s="12" t="str"/>
      <c r="T42" s="12" t="str"/>
      <c r="U42" s="12" t="inlineStr">
        <is>
          <t>Responsável não definido; Direcional/briefing ausente; Link de material ausente ou indireto</t>
        </is>
      </c>
    </row>
    <row r="43">
      <c r="A43" s="12" t="inlineStr">
        <is>
          <t>FT26-LEDS_GONDOLAS-042</t>
        </is>
      </c>
      <c r="B43" s="12" t="inlineStr">
        <is>
          <t>LEDs de Gôndolas</t>
        </is>
      </c>
      <c r="C43" s="12" t="inlineStr">
        <is>
          <t>Nutren Vitaminas</t>
        </is>
      </c>
      <c r="D43" s="12" t="str"/>
      <c r="E43" s="12" t="str"/>
      <c r="F43" s="12" t="inlineStr">
        <is>
          <t>PENDING</t>
        </is>
      </c>
      <c r="G43" s="12" t="inlineStr">
        <is>
          <t>PENDING</t>
        </is>
      </c>
      <c r="H43" s="12" t="inlineStr">
        <is>
          <t>PENDING</t>
        </is>
      </c>
      <c r="I43" s="12" t="inlineStr">
        <is>
          <t>PENDING</t>
        </is>
      </c>
      <c r="J43" s="12" t="inlineStr">
        <is>
          <t>PENDING</t>
        </is>
      </c>
      <c r="K43" s="12" t="inlineStr">
        <is>
          <t>PENDING</t>
        </is>
      </c>
      <c r="L43" s="12" t="inlineStr">
        <is>
          <t>PENDING</t>
        </is>
      </c>
      <c r="M43" s="12" t="inlineStr">
        <is>
          <t>PENDING</t>
        </is>
      </c>
      <c r="N43" s="12" t="inlineStr">
        <is>
          <t>PENDING</t>
        </is>
      </c>
      <c r="O43" s="12" t="inlineStr">
        <is>
          <t>PENDING</t>
        </is>
      </c>
      <c r="P43" s="12" t="inlineStr">
        <is>
          <t>PENDING</t>
        </is>
      </c>
      <c r="Q43" s="12" t="inlineStr">
        <is>
          <t>PENDING</t>
        </is>
      </c>
      <c r="R43" s="12" t="inlineStr">
        <is>
          <t>PENDING</t>
        </is>
      </c>
      <c r="S43" s="12" t="str"/>
      <c r="T43" s="12" t="str"/>
      <c r="U43" s="12" t="inlineStr">
        <is>
          <t>Responsável não definido; Link de material ausente ou indireto</t>
        </is>
      </c>
    </row>
    <row r="44">
      <c r="A44" s="12" t="inlineStr">
        <is>
          <t>FT26-LEDS_GONDOLAS-043</t>
        </is>
      </c>
      <c r="B44" s="12" t="inlineStr">
        <is>
          <t>LEDs de Gôndolas</t>
        </is>
      </c>
      <c r="C44" s="12" t="inlineStr">
        <is>
          <t>Fiber Mais</t>
        </is>
      </c>
      <c r="D44" s="12" t="str"/>
      <c r="E44" s="12" t="str"/>
      <c r="F44" s="12" t="inlineStr">
        <is>
          <t>PENDING</t>
        </is>
      </c>
      <c r="G44" s="12" t="inlineStr">
        <is>
          <t>PENDING</t>
        </is>
      </c>
      <c r="H44" s="12" t="inlineStr">
        <is>
          <t>PENDING</t>
        </is>
      </c>
      <c r="I44" s="12" t="inlineStr">
        <is>
          <t>PENDING</t>
        </is>
      </c>
      <c r="J44" s="12" t="inlineStr">
        <is>
          <t>PENDING</t>
        </is>
      </c>
      <c r="K44" s="12" t="inlineStr">
        <is>
          <t>PENDING</t>
        </is>
      </c>
      <c r="L44" s="12" t="inlineStr">
        <is>
          <t>PENDING</t>
        </is>
      </c>
      <c r="M44" s="12" t="inlineStr">
        <is>
          <t>PENDING</t>
        </is>
      </c>
      <c r="N44" s="12" t="inlineStr">
        <is>
          <t>PENDING</t>
        </is>
      </c>
      <c r="O44" s="12" t="inlineStr">
        <is>
          <t>PENDING</t>
        </is>
      </c>
      <c r="P44" s="12" t="inlineStr">
        <is>
          <t>PENDING</t>
        </is>
      </c>
      <c r="Q44" s="12" t="inlineStr">
        <is>
          <t>PENDING</t>
        </is>
      </c>
      <c r="R44" s="12" t="inlineStr">
        <is>
          <t>PENDING</t>
        </is>
      </c>
      <c r="S44" s="12" t="str"/>
      <c r="T44" s="12" t="str"/>
      <c r="U44" s="12" t="inlineStr">
        <is>
          <t>Responsável não definido; Direcional/briefing ausente</t>
        </is>
      </c>
    </row>
    <row r="45">
      <c r="A45" s="12" t="inlineStr">
        <is>
          <t>FT26-LEDS_GONDOLAS-044</t>
        </is>
      </c>
      <c r="B45" s="12" t="inlineStr">
        <is>
          <t>LEDs de Gôndolas</t>
        </is>
      </c>
      <c r="C45" s="12" t="inlineStr">
        <is>
          <t>Nanlac Supreme Pro</t>
        </is>
      </c>
      <c r="D45" s="12" t="str"/>
      <c r="E45" s="12" t="str"/>
      <c r="F45" s="12" t="inlineStr">
        <is>
          <t>PENDING</t>
        </is>
      </c>
      <c r="G45" s="12" t="inlineStr">
        <is>
          <t>PENDING</t>
        </is>
      </c>
      <c r="H45" s="12" t="inlineStr">
        <is>
          <t>PENDING</t>
        </is>
      </c>
      <c r="I45" s="12" t="inlineStr">
        <is>
          <t>PENDING</t>
        </is>
      </c>
      <c r="J45" s="12" t="inlineStr">
        <is>
          <t>PENDING</t>
        </is>
      </c>
      <c r="K45" s="12" t="inlineStr">
        <is>
          <t>PENDING</t>
        </is>
      </c>
      <c r="L45" s="12" t="inlineStr">
        <is>
          <t>PENDING</t>
        </is>
      </c>
      <c r="M45" s="12" t="inlineStr">
        <is>
          <t>PENDING</t>
        </is>
      </c>
      <c r="N45" s="12" t="inlineStr">
        <is>
          <t>PENDING</t>
        </is>
      </c>
      <c r="O45" s="12" t="inlineStr">
        <is>
          <t>PENDING</t>
        </is>
      </c>
      <c r="P45" s="12" t="inlineStr">
        <is>
          <t>PENDING</t>
        </is>
      </c>
      <c r="Q45" s="12" t="inlineStr">
        <is>
          <t>PENDING</t>
        </is>
      </c>
      <c r="R45" s="12" t="inlineStr">
        <is>
          <t>PENDING</t>
        </is>
      </c>
      <c r="S45" s="12" t="str"/>
      <c r="T45" s="12" t="str"/>
      <c r="U45" s="12" t="inlineStr">
        <is>
          <t>Direcional/briefing ausente; Link de material ausente ou indireto</t>
        </is>
      </c>
    </row>
    <row r="46">
      <c r="A46" s="12" t="inlineStr">
        <is>
          <t>FT26-LEDS_GONDOLAS-045</t>
        </is>
      </c>
      <c r="B46" s="12" t="inlineStr">
        <is>
          <t>LEDs de Gôndolas</t>
        </is>
      </c>
      <c r="C46" s="12" t="inlineStr">
        <is>
          <t>Nanlac Comfor</t>
        </is>
      </c>
      <c r="D46" s="12" t="str"/>
      <c r="E46" s="12" t="str"/>
      <c r="F46" s="12" t="inlineStr">
        <is>
          <t>PENDING</t>
        </is>
      </c>
      <c r="G46" s="12" t="inlineStr">
        <is>
          <t>PENDING</t>
        </is>
      </c>
      <c r="H46" s="12" t="inlineStr">
        <is>
          <t>PENDING</t>
        </is>
      </c>
      <c r="I46" s="12" t="inlineStr">
        <is>
          <t>PENDING</t>
        </is>
      </c>
      <c r="J46" s="12" t="inlineStr">
        <is>
          <t>PENDING</t>
        </is>
      </c>
      <c r="K46" s="12" t="inlineStr">
        <is>
          <t>PENDING</t>
        </is>
      </c>
      <c r="L46" s="12" t="inlineStr">
        <is>
          <t>PENDING</t>
        </is>
      </c>
      <c r="M46" s="12" t="inlineStr">
        <is>
          <t>PENDING</t>
        </is>
      </c>
      <c r="N46" s="12" t="inlineStr">
        <is>
          <t>PENDING</t>
        </is>
      </c>
      <c r="O46" s="12" t="inlineStr">
        <is>
          <t>PENDING</t>
        </is>
      </c>
      <c r="P46" s="12" t="inlineStr">
        <is>
          <t>PENDING</t>
        </is>
      </c>
      <c r="Q46" s="12" t="inlineStr">
        <is>
          <t>PENDING</t>
        </is>
      </c>
      <c r="R46" s="12" t="inlineStr">
        <is>
          <t>PENDING</t>
        </is>
      </c>
      <c r="S46" s="12" t="str"/>
      <c r="T46" s="12" t="str"/>
      <c r="U46" s="12" t="inlineStr">
        <is>
          <t>Direcional/briefing ausente; Link de material ausente ou indireto</t>
        </is>
      </c>
    </row>
    <row r="47">
      <c r="A47" s="12" t="inlineStr">
        <is>
          <t>FT26-LEDS_GONDOLAS-046</t>
        </is>
      </c>
      <c r="B47" s="12" t="inlineStr">
        <is>
          <t>LEDs de Gôndolas</t>
        </is>
      </c>
      <c r="C47" s="12" t="inlineStr">
        <is>
          <t>Nestogeno e Nestonutri</t>
        </is>
      </c>
      <c r="D47" s="12" t="str"/>
      <c r="E47" s="12" t="str"/>
      <c r="F47" s="12" t="inlineStr">
        <is>
          <t>PENDING</t>
        </is>
      </c>
      <c r="G47" s="12" t="inlineStr">
        <is>
          <t>PENDING</t>
        </is>
      </c>
      <c r="H47" s="12" t="inlineStr">
        <is>
          <t>PENDING</t>
        </is>
      </c>
      <c r="I47" s="12" t="inlineStr">
        <is>
          <t>PENDING</t>
        </is>
      </c>
      <c r="J47" s="12" t="inlineStr">
        <is>
          <t>PENDING</t>
        </is>
      </c>
      <c r="K47" s="12" t="inlineStr">
        <is>
          <t>PENDING</t>
        </is>
      </c>
      <c r="L47" s="12" t="inlineStr">
        <is>
          <t>PENDING</t>
        </is>
      </c>
      <c r="M47" s="12" t="inlineStr">
        <is>
          <t>PENDING</t>
        </is>
      </c>
      <c r="N47" s="12" t="inlineStr">
        <is>
          <t>PENDING</t>
        </is>
      </c>
      <c r="O47" s="12" t="inlineStr">
        <is>
          <t>PENDING</t>
        </is>
      </c>
      <c r="P47" s="12" t="inlineStr">
        <is>
          <t>PENDING</t>
        </is>
      </c>
      <c r="Q47" s="12" t="inlineStr">
        <is>
          <t>PENDING</t>
        </is>
      </c>
      <c r="R47" s="12" t="inlineStr">
        <is>
          <t>PENDING</t>
        </is>
      </c>
      <c r="S47" s="12" t="str"/>
      <c r="T47" s="12" t="str"/>
      <c r="U47" s="12" t="inlineStr">
        <is>
          <t>Responsável não definido; Direcional/briefing ausente; Link de material ausente ou indireto</t>
        </is>
      </c>
    </row>
    <row r="48">
      <c r="A48" s="12" t="inlineStr">
        <is>
          <t>FT26-LEDS_GONDOLAS-047</t>
        </is>
      </c>
      <c r="B48" s="12" t="inlineStr">
        <is>
          <t>LEDs de Gôndolas</t>
        </is>
      </c>
      <c r="C48" s="12" t="inlineStr">
        <is>
          <t>Nescafé Pró Energy</t>
        </is>
      </c>
      <c r="D48" s="12" t="str"/>
      <c r="E48" s="12" t="str"/>
      <c r="F48" s="12" t="inlineStr">
        <is>
          <t>PENDING</t>
        </is>
      </c>
      <c r="G48" s="12" t="inlineStr">
        <is>
          <t>PENDING</t>
        </is>
      </c>
      <c r="H48" s="12" t="inlineStr">
        <is>
          <t>PENDING</t>
        </is>
      </c>
      <c r="I48" s="12" t="inlineStr">
        <is>
          <t>PENDING</t>
        </is>
      </c>
      <c r="J48" s="12" t="inlineStr">
        <is>
          <t>PENDING</t>
        </is>
      </c>
      <c r="K48" s="12" t="inlineStr">
        <is>
          <t>PENDING</t>
        </is>
      </c>
      <c r="L48" s="12" t="inlineStr">
        <is>
          <t>PENDING</t>
        </is>
      </c>
      <c r="M48" s="12" t="inlineStr">
        <is>
          <t>PENDING</t>
        </is>
      </c>
      <c r="N48" s="12" t="inlineStr">
        <is>
          <t>PENDING</t>
        </is>
      </c>
      <c r="O48" s="12" t="inlineStr">
        <is>
          <t>PENDING</t>
        </is>
      </c>
      <c r="P48" s="12" t="inlineStr">
        <is>
          <t>PENDING</t>
        </is>
      </c>
      <c r="Q48" s="12" t="inlineStr">
        <is>
          <t>PENDING</t>
        </is>
      </c>
      <c r="R48" s="12" t="inlineStr">
        <is>
          <t>PENDING</t>
        </is>
      </c>
      <c r="S48" s="12" t="str"/>
      <c r="T48" s="12" t="str"/>
      <c r="U48" s="12" t="inlineStr">
        <is>
          <t>Responsável não definido; Direcional/briefing ausente; Link de material ausente ou indireto</t>
        </is>
      </c>
    </row>
    <row r="49">
      <c r="A49" s="12" t="inlineStr">
        <is>
          <t>FT26-LEDS_GONDOLAS-048</t>
        </is>
      </c>
      <c r="B49" s="12" t="inlineStr">
        <is>
          <t>LEDs de Gôndolas</t>
        </is>
      </c>
      <c r="C49" s="12" t="inlineStr">
        <is>
          <t>Nescau Protein</t>
        </is>
      </c>
      <c r="D49" s="12" t="str"/>
      <c r="E49" s="12" t="str"/>
      <c r="F49" s="12" t="inlineStr">
        <is>
          <t>PENDING</t>
        </is>
      </c>
      <c r="G49" s="12" t="inlineStr">
        <is>
          <t>PENDING</t>
        </is>
      </c>
      <c r="H49" s="12" t="inlineStr">
        <is>
          <t>PENDING</t>
        </is>
      </c>
      <c r="I49" s="12" t="inlineStr">
        <is>
          <t>PENDING</t>
        </is>
      </c>
      <c r="J49" s="12" t="inlineStr">
        <is>
          <t>PENDING</t>
        </is>
      </c>
      <c r="K49" s="12" t="inlineStr">
        <is>
          <t>PENDING</t>
        </is>
      </c>
      <c r="L49" s="12" t="inlineStr">
        <is>
          <t>PENDING</t>
        </is>
      </c>
      <c r="M49" s="12" t="inlineStr">
        <is>
          <t>PENDING</t>
        </is>
      </c>
      <c r="N49" s="12" t="inlineStr">
        <is>
          <t>PENDING</t>
        </is>
      </c>
      <c r="O49" s="12" t="inlineStr">
        <is>
          <t>PENDING</t>
        </is>
      </c>
      <c r="P49" s="12" t="inlineStr">
        <is>
          <t>PENDING</t>
        </is>
      </c>
      <c r="Q49" s="12" t="inlineStr">
        <is>
          <t>PENDING</t>
        </is>
      </c>
      <c r="R49" s="12" t="inlineStr">
        <is>
          <t>PENDING</t>
        </is>
      </c>
      <c r="S49" s="12" t="str"/>
      <c r="T49" s="12" t="str"/>
      <c r="U49" s="12" t="inlineStr">
        <is>
          <t>Responsável não definido; Direcional/briefing ausente; Link de material ausente ou indireto</t>
        </is>
      </c>
    </row>
    <row r="50">
      <c r="A50" s="12" t="inlineStr">
        <is>
          <t>FT26-LEDS_GONDOLAS-049</t>
        </is>
      </c>
      <c r="B50" s="12" t="inlineStr">
        <is>
          <t>LEDs de Gôndolas</t>
        </is>
      </c>
      <c r="C50" s="12" t="inlineStr">
        <is>
          <t>Aveias</t>
        </is>
      </c>
      <c r="D50" s="12" t="str"/>
      <c r="E50" s="12" t="str"/>
      <c r="F50" s="12" t="inlineStr">
        <is>
          <t>PENDING</t>
        </is>
      </c>
      <c r="G50" s="12" t="inlineStr">
        <is>
          <t>PENDING</t>
        </is>
      </c>
      <c r="H50" s="12" t="inlineStr">
        <is>
          <t>PENDING</t>
        </is>
      </c>
      <c r="I50" s="12" t="inlineStr">
        <is>
          <t>PENDING</t>
        </is>
      </c>
      <c r="J50" s="12" t="inlineStr">
        <is>
          <t>PENDING</t>
        </is>
      </c>
      <c r="K50" s="12" t="inlineStr">
        <is>
          <t>PENDING</t>
        </is>
      </c>
      <c r="L50" s="12" t="inlineStr">
        <is>
          <t>PENDING</t>
        </is>
      </c>
      <c r="M50" s="12" t="inlineStr">
        <is>
          <t>PENDING</t>
        </is>
      </c>
      <c r="N50" s="12" t="inlineStr">
        <is>
          <t>PENDING</t>
        </is>
      </c>
      <c r="O50" s="12" t="inlineStr">
        <is>
          <t>PENDING</t>
        </is>
      </c>
      <c r="P50" s="12" t="inlineStr">
        <is>
          <t>PENDING</t>
        </is>
      </c>
      <c r="Q50" s="12" t="inlineStr">
        <is>
          <t>PENDING</t>
        </is>
      </c>
      <c r="R50" s="12" t="inlineStr">
        <is>
          <t>PENDING</t>
        </is>
      </c>
      <c r="S50" s="12" t="str"/>
      <c r="T50" s="12" t="str"/>
      <c r="U50" s="12" t="inlineStr">
        <is>
          <t>Responsável não definido; Direcional/briefing ausente</t>
        </is>
      </c>
    </row>
    <row r="51">
      <c r="A51" s="12" t="inlineStr">
        <is>
          <t>FT26-LEDS_GONDOLAS-050</t>
        </is>
      </c>
      <c r="B51" s="12" t="inlineStr">
        <is>
          <t>LEDs de Gôndolas</t>
        </is>
      </c>
      <c r="C51" s="12" t="inlineStr">
        <is>
          <t>Puravida</t>
        </is>
      </c>
      <c r="D51" s="12" t="str"/>
      <c r="E51" s="12" t="str"/>
      <c r="F51" s="12" t="inlineStr">
        <is>
          <t>PENDING</t>
        </is>
      </c>
      <c r="G51" s="12" t="inlineStr">
        <is>
          <t>PENDING</t>
        </is>
      </c>
      <c r="H51" s="12" t="inlineStr">
        <is>
          <t>PENDING</t>
        </is>
      </c>
      <c r="I51" s="12" t="inlineStr">
        <is>
          <t>PENDING</t>
        </is>
      </c>
      <c r="J51" s="12" t="inlineStr">
        <is>
          <t>PENDING</t>
        </is>
      </c>
      <c r="K51" s="12" t="inlineStr">
        <is>
          <t>PENDING</t>
        </is>
      </c>
      <c r="L51" s="12" t="inlineStr">
        <is>
          <t>PENDING</t>
        </is>
      </c>
      <c r="M51" s="12" t="inlineStr">
        <is>
          <t>PENDING</t>
        </is>
      </c>
      <c r="N51" s="12" t="inlineStr">
        <is>
          <t>PENDING</t>
        </is>
      </c>
      <c r="O51" s="12" t="inlineStr">
        <is>
          <t>PENDING</t>
        </is>
      </c>
      <c r="P51" s="12" t="inlineStr">
        <is>
          <t>PENDING</t>
        </is>
      </c>
      <c r="Q51" s="12" t="inlineStr">
        <is>
          <t>PENDING</t>
        </is>
      </c>
      <c r="R51" s="12" t="inlineStr">
        <is>
          <t>PENDING</t>
        </is>
      </c>
      <c r="S51" s="12" t="str"/>
      <c r="T51" s="12" t="str"/>
      <c r="U51" s="12" t="inlineStr">
        <is>
          <t>Responsável não definido; Direcional/briefing ausente; Link de material ausente ou indireto</t>
        </is>
      </c>
    </row>
    <row r="52">
      <c r="A52" s="12" t="inlineStr">
        <is>
          <t>FT26-LEDS_GONDOLAS-051</t>
        </is>
      </c>
      <c r="B52" s="12" t="inlineStr">
        <is>
          <t>LEDs de Gôndolas</t>
        </is>
      </c>
      <c r="C52" s="12" t="inlineStr">
        <is>
          <t>Molico</t>
        </is>
      </c>
      <c r="D52" s="12" t="str"/>
      <c r="E52" s="12" t="str"/>
      <c r="F52" s="12" t="inlineStr">
        <is>
          <t>PENDING</t>
        </is>
      </c>
      <c r="G52" s="12" t="inlineStr">
        <is>
          <t>PENDING</t>
        </is>
      </c>
      <c r="H52" s="12" t="inlineStr">
        <is>
          <t>PENDING</t>
        </is>
      </c>
      <c r="I52" s="12" t="inlineStr">
        <is>
          <t>PENDING</t>
        </is>
      </c>
      <c r="J52" s="12" t="inlineStr">
        <is>
          <t>PENDING</t>
        </is>
      </c>
      <c r="K52" s="12" t="inlineStr">
        <is>
          <t>PENDING</t>
        </is>
      </c>
      <c r="L52" s="12" t="inlineStr">
        <is>
          <t>PENDING</t>
        </is>
      </c>
      <c r="M52" s="12" t="inlineStr">
        <is>
          <t>PENDING</t>
        </is>
      </c>
      <c r="N52" s="12" t="inlineStr">
        <is>
          <t>PENDING</t>
        </is>
      </c>
      <c r="O52" s="12" t="inlineStr">
        <is>
          <t>PENDING</t>
        </is>
      </c>
      <c r="P52" s="12" t="inlineStr">
        <is>
          <t>PENDING</t>
        </is>
      </c>
      <c r="Q52" s="12" t="inlineStr">
        <is>
          <t>PENDING</t>
        </is>
      </c>
      <c r="R52" s="12" t="inlineStr">
        <is>
          <t>PENDING</t>
        </is>
      </c>
      <c r="S52" s="12" t="str"/>
      <c r="T52" s="12" t="str"/>
      <c r="U52" s="12" t="inlineStr">
        <is>
          <t>Responsável não definido; Direcional/briefing ausente; Link de material ausente ou indireto</t>
        </is>
      </c>
    </row>
    <row r="53">
      <c r="A53" s="12" t="inlineStr">
        <is>
          <t>FT26-LEDS_GONDOLAS-052</t>
        </is>
      </c>
      <c r="B53" s="12" t="inlineStr">
        <is>
          <t>LEDs de Gôndolas</t>
        </is>
      </c>
      <c r="C53" s="12" t="inlineStr">
        <is>
          <t>Ascenda</t>
        </is>
      </c>
      <c r="D53" s="12" t="str"/>
      <c r="E53" s="12" t="str"/>
      <c r="F53" s="12" t="inlineStr">
        <is>
          <t>PENDING</t>
        </is>
      </c>
      <c r="G53" s="12" t="inlineStr">
        <is>
          <t>PENDING</t>
        </is>
      </c>
      <c r="H53" s="12" t="inlineStr">
        <is>
          <t>PENDING</t>
        </is>
      </c>
      <c r="I53" s="12" t="inlineStr">
        <is>
          <t>PENDING</t>
        </is>
      </c>
      <c r="J53" s="12" t="inlineStr">
        <is>
          <t>PENDING</t>
        </is>
      </c>
      <c r="K53" s="12" t="inlineStr">
        <is>
          <t>PENDING</t>
        </is>
      </c>
      <c r="L53" s="12" t="inlineStr">
        <is>
          <t>PENDING</t>
        </is>
      </c>
      <c r="M53" s="12" t="inlineStr">
        <is>
          <t>PENDING</t>
        </is>
      </c>
      <c r="N53" s="12" t="inlineStr">
        <is>
          <t>PENDING</t>
        </is>
      </c>
      <c r="O53" s="12" t="inlineStr">
        <is>
          <t>PENDING</t>
        </is>
      </c>
      <c r="P53" s="12" t="inlineStr">
        <is>
          <t>PENDING</t>
        </is>
      </c>
      <c r="Q53" s="12" t="inlineStr">
        <is>
          <t>PENDING</t>
        </is>
      </c>
      <c r="R53" s="12" t="inlineStr">
        <is>
          <t>PENDING</t>
        </is>
      </c>
      <c r="S53" s="12" t="str"/>
      <c r="T53" s="12" t="str"/>
      <c r="U53" s="12" t="inlineStr">
        <is>
          <t>Responsável não definido; Direcional/briefing ausente; Link de material ausente ou indireto</t>
        </is>
      </c>
    </row>
    <row r="54">
      <c r="A54" s="12" t="inlineStr">
        <is>
          <t>FT26-LEDS_GONDOLAS-053</t>
        </is>
      </c>
      <c r="B54" s="12" t="inlineStr">
        <is>
          <t>LEDs de Gôndolas</t>
        </is>
      </c>
      <c r="C54" s="12" t="inlineStr">
        <is>
          <t>Vital</t>
        </is>
      </c>
      <c r="D54" s="12" t="str"/>
      <c r="E54" s="12" t="str"/>
      <c r="F54" s="12" t="inlineStr">
        <is>
          <t>PENDING</t>
        </is>
      </c>
      <c r="G54" s="12" t="inlineStr">
        <is>
          <t>PENDING</t>
        </is>
      </c>
      <c r="H54" s="12" t="inlineStr">
        <is>
          <t>PENDING</t>
        </is>
      </c>
      <c r="I54" s="12" t="inlineStr">
        <is>
          <t>PENDING</t>
        </is>
      </c>
      <c r="J54" s="12" t="inlineStr">
        <is>
          <t>PENDING</t>
        </is>
      </c>
      <c r="K54" s="12" t="inlineStr">
        <is>
          <t>PENDING</t>
        </is>
      </c>
      <c r="L54" s="12" t="inlineStr">
        <is>
          <t>PENDING</t>
        </is>
      </c>
      <c r="M54" s="12" t="inlineStr">
        <is>
          <t>PENDING</t>
        </is>
      </c>
      <c r="N54" s="12" t="inlineStr">
        <is>
          <t>PENDING</t>
        </is>
      </c>
      <c r="O54" s="12" t="inlineStr">
        <is>
          <t>PENDING</t>
        </is>
      </c>
      <c r="P54" s="12" t="inlineStr">
        <is>
          <t>PENDING</t>
        </is>
      </c>
      <c r="Q54" s="12" t="inlineStr">
        <is>
          <t>PENDING</t>
        </is>
      </c>
      <c r="R54" s="12" t="inlineStr">
        <is>
          <t>PENDING</t>
        </is>
      </c>
      <c r="S54" s="12" t="str"/>
      <c r="T54" s="12" t="str"/>
      <c r="U54" s="12" t="inlineStr">
        <is>
          <t>Responsável não definido; Direcional/briefing ausente; Link de material ausente ou indireto</t>
        </is>
      </c>
    </row>
    <row r="55">
      <c r="A55" s="12" t="inlineStr">
        <is>
          <t>FT26-LED_NINHO-054</t>
        </is>
      </c>
      <c r="B55" s="12" t="inlineStr">
        <is>
          <t>LED Ninho — Patrulha Canina</t>
        </is>
      </c>
      <c r="C55" s="12" t="inlineStr">
        <is>
          <t>Ninho - Patrulha Canina</t>
        </is>
      </c>
      <c r="D55" s="12" t="str"/>
      <c r="E55" s="12" t="str"/>
      <c r="F55" s="12" t="inlineStr">
        <is>
          <t>PENDING</t>
        </is>
      </c>
      <c r="G55" s="12" t="inlineStr">
        <is>
          <t>PENDING</t>
        </is>
      </c>
      <c r="H55" s="12" t="inlineStr">
        <is>
          <t>PENDING</t>
        </is>
      </c>
      <c r="I55" s="12" t="inlineStr">
        <is>
          <t>PENDING</t>
        </is>
      </c>
      <c r="J55" s="12" t="inlineStr">
        <is>
          <t>PENDING</t>
        </is>
      </c>
      <c r="K55" s="12" t="inlineStr">
        <is>
          <t>PENDING</t>
        </is>
      </c>
      <c r="L55" s="12" t="inlineStr">
        <is>
          <t>PENDING</t>
        </is>
      </c>
      <c r="M55" s="12" t="inlineStr">
        <is>
          <t>PENDING</t>
        </is>
      </c>
      <c r="N55" s="12" t="inlineStr">
        <is>
          <t>PENDING</t>
        </is>
      </c>
      <c r="O55" s="12" t="inlineStr">
        <is>
          <t>PENDING</t>
        </is>
      </c>
      <c r="P55" s="12" t="inlineStr">
        <is>
          <t>PENDING</t>
        </is>
      </c>
      <c r="Q55" s="12" t="inlineStr">
        <is>
          <t>PENDING</t>
        </is>
      </c>
      <c r="R55" s="12" t="inlineStr">
        <is>
          <t>PENDING</t>
        </is>
      </c>
      <c r="S55" s="12" t="str"/>
      <c r="T55" s="12" t="str"/>
      <c r="U55" s="12" t="inlineStr">
        <is>
          <t>Responsável não definido; Direcional/briefing ausente; Link de material ausente ou indireto</t>
        </is>
      </c>
    </row>
    <row r="56">
      <c r="A56" s="12" t="inlineStr">
        <is>
          <t>FT26-TV_SALA_VIP-055</t>
        </is>
      </c>
      <c r="B56" s="12" t="inlineStr">
        <is>
          <t>TV Sala VIP — 4K QLED</t>
        </is>
      </c>
      <c r="C56" s="12" t="inlineStr">
        <is>
          <t>Logo Nestlé - intercalando com os passaros voando e Nutrition and Health a número 01 em Nutrição no Brasil e no Mundo.</t>
        </is>
      </c>
      <c r="D56" s="12" t="str"/>
      <c r="E56" s="12" t="str"/>
      <c r="F56" s="12" t="inlineStr">
        <is>
          <t>PENDING</t>
        </is>
      </c>
      <c r="G56" s="12" t="inlineStr">
        <is>
          <t>PENDING</t>
        </is>
      </c>
      <c r="H56" s="12" t="inlineStr">
        <is>
          <t>PENDING</t>
        </is>
      </c>
      <c r="I56" s="12" t="inlineStr">
        <is>
          <t>PENDING</t>
        </is>
      </c>
      <c r="J56" s="12" t="inlineStr">
        <is>
          <t>PENDING</t>
        </is>
      </c>
      <c r="K56" s="12" t="inlineStr">
        <is>
          <t>PENDING</t>
        </is>
      </c>
      <c r="L56" s="12" t="inlineStr">
        <is>
          <t>PENDING</t>
        </is>
      </c>
      <c r="M56" s="12" t="inlineStr">
        <is>
          <t>PENDING</t>
        </is>
      </c>
      <c r="N56" s="12" t="inlineStr">
        <is>
          <t>PENDING</t>
        </is>
      </c>
      <c r="O56" s="12" t="inlineStr">
        <is>
          <t>PENDING</t>
        </is>
      </c>
      <c r="P56" s="12" t="inlineStr">
        <is>
          <t>PENDING</t>
        </is>
      </c>
      <c r="Q56" s="12" t="inlineStr">
        <is>
          <t>PENDING</t>
        </is>
      </c>
      <c r="R56" s="12" t="inlineStr">
        <is>
          <t>PENDING</t>
        </is>
      </c>
      <c r="S56" s="12" t="str"/>
      <c r="T56" s="12" t="str"/>
      <c r="U56" s="12" t="inlineStr">
        <is>
          <t>Responsável não definido; Direcional/briefing ausente; Link de material ausente ou indireto</t>
        </is>
      </c>
    </row>
  </sheetData>
  <conditionalFormatting sqref="R2:R56">
    <cfRule type="expression" priority="1" dxfId="1">
      <formula>R2="PASSED"</formula>
    </cfRule>
    <cfRule type="expression" priority="2" dxfId="0">
      <formula>R2="FAILED"</formula>
    </cfRule>
  </conditionalFormatting>
  <dataValidations count="13">
    <dataValidation sqref="F2:F56" showDropDown="0" showInputMessage="0" showErrorMessage="0" allowBlank="0" type="list">
      <formula1>"PENDING,YES,NO,N/A"</formula1>
    </dataValidation>
    <dataValidation sqref="G2:G56" showDropDown="0" showInputMessage="0" showErrorMessage="0" allowBlank="0" type="list">
      <formula1>"PENDING,YES,NO,N/A"</formula1>
    </dataValidation>
    <dataValidation sqref="H2:H56" showDropDown="0" showInputMessage="0" showErrorMessage="0" allowBlank="0" type="list">
      <formula1>"PENDING,YES,NO,N/A"</formula1>
    </dataValidation>
    <dataValidation sqref="I2:I56" showDropDown="0" showInputMessage="0" showErrorMessage="0" allowBlank="0" type="list">
      <formula1>"PENDING,YES,NO,N/A"</formula1>
    </dataValidation>
    <dataValidation sqref="J2:J56" showDropDown="0" showInputMessage="0" showErrorMessage="0" allowBlank="0" type="list">
      <formula1>"PENDING,YES,NO,N/A"</formula1>
    </dataValidation>
    <dataValidation sqref="K2:K56" showDropDown="0" showInputMessage="0" showErrorMessage="0" allowBlank="0" type="list">
      <formula1>"PENDING,YES,NO,N/A"</formula1>
    </dataValidation>
    <dataValidation sqref="L2:L56" showDropDown="0" showInputMessage="0" showErrorMessage="0" allowBlank="0" type="list">
      <formula1>"PENDING,YES,NO,N/A"</formula1>
    </dataValidation>
    <dataValidation sqref="M2:M56" showDropDown="0" showInputMessage="0" showErrorMessage="0" allowBlank="0" type="list">
      <formula1>"PENDING,YES,NO,N/A"</formula1>
    </dataValidation>
    <dataValidation sqref="N2:N56" showDropDown="0" showInputMessage="0" showErrorMessage="0" allowBlank="0" type="list">
      <formula1>"PENDING,YES,NO,N/A"</formula1>
    </dataValidation>
    <dataValidation sqref="O2:O56" showDropDown="0" showInputMessage="0" showErrorMessage="0" allowBlank="0" type="list">
      <formula1>"PENDING,YES,NO,N/A"</formula1>
    </dataValidation>
    <dataValidation sqref="P2:P56" showDropDown="0" showInputMessage="0" showErrorMessage="0" allowBlank="0" type="list">
      <formula1>"PENDING,YES,NO,N/A"</formula1>
    </dataValidation>
    <dataValidation sqref="Q2:Q56" showDropDown="0" showInputMessage="0" showErrorMessage="0" allowBlank="0" type="list">
      <formula1>"PENDING,YES,NO,N/A"</formula1>
    </dataValidation>
    <dataValidation sqref="R2:R56" showDropDown="0" showInputMessage="0" showErrorMessage="0" allowBlank="0" type="list">
      <formula1>Lists!$J$2:$J$5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8" customWidth="1" min="4" max="4"/>
    <col width="38" customWidth="1" min="5" max="5"/>
    <col width="14" customWidth="1" min="6" max="6"/>
    <col width="48" customWidth="1" min="7" max="7"/>
    <col width="30" customWidth="1" min="8" max="8"/>
    <col width="20" customWidth="1" min="9" max="9"/>
    <col width="18" customWidth="1" min="10" max="10"/>
    <col width="20" customWidth="1" min="11" max="11"/>
    <col width="18" customWidth="1" min="12" max="12"/>
    <col width="36" customWidth="1" min="13" max="13"/>
  </cols>
  <sheetData>
    <row r="1">
      <c r="A1" s="6" t="inlineStr">
        <is>
          <t>Asset_ID</t>
        </is>
      </c>
      <c r="B1" s="6" t="inlineStr">
        <is>
          <t>Placement</t>
        </is>
      </c>
      <c r="C1" s="6" t="inlineStr">
        <is>
          <t>Brand_Content</t>
        </is>
      </c>
      <c r="D1" s="6" t="inlineStr">
        <is>
          <t>Master_File</t>
        </is>
      </c>
      <c r="E1" s="6" t="inlineStr">
        <is>
          <t>Backup_File</t>
        </is>
      </c>
      <c r="F1" s="6" t="inlineStr">
        <is>
          <t>File_Size_MB</t>
        </is>
      </c>
      <c r="G1" s="6" t="inlineStr">
        <is>
          <t>SHA256</t>
        </is>
      </c>
      <c r="H1" s="6" t="inlineStr">
        <is>
          <t>Delivery_Link</t>
        </is>
      </c>
      <c r="I1" s="6" t="inlineStr">
        <is>
          <t>Delivered_By</t>
        </is>
      </c>
      <c r="J1" s="6" t="inlineStr">
        <is>
          <t>Delivered_At</t>
        </is>
      </c>
      <c r="K1" s="6" t="inlineStr">
        <is>
          <t>Receiver</t>
        </is>
      </c>
      <c r="L1" s="6" t="inlineStr">
        <is>
          <t>Receipt_Confirmed</t>
        </is>
      </c>
      <c r="M1" s="6" t="inlineStr">
        <is>
          <t>Notes</t>
        </is>
      </c>
    </row>
    <row r="2">
      <c r="A2" t="inlineStr">
        <is>
          <t>FT26-LED01_CURVO-001</t>
        </is>
      </c>
      <c r="B2" t="inlineStr">
        <is>
          <t>LED 1 — Frente / Curvo</t>
        </is>
      </c>
      <c r="C2" t="inlineStr">
        <is>
          <t>Família Comfor</t>
        </is>
      </c>
      <c r="L2" t="inlineStr">
        <is>
          <t>NO</t>
        </is>
      </c>
    </row>
    <row r="3">
      <c r="A3" t="inlineStr">
        <is>
          <t>FT26-LED01_CURVO-002</t>
        </is>
      </c>
      <c r="B3" t="inlineStr">
        <is>
          <t>LED 1 — Frente / Curvo</t>
        </is>
      </c>
      <c r="C3" t="inlineStr">
        <is>
          <t>Família Supreme</t>
        </is>
      </c>
      <c r="L3" t="inlineStr">
        <is>
          <t>NO</t>
        </is>
      </c>
    </row>
    <row r="4">
      <c r="A4" t="inlineStr">
        <is>
          <t>FT26-LED01_CURVO-003</t>
        </is>
      </c>
      <c r="B4" t="inlineStr">
        <is>
          <t>LED 1 — Frente / Curvo</t>
        </is>
      </c>
      <c r="C4" t="inlineStr">
        <is>
          <t>Família Nestonutri</t>
        </is>
      </c>
      <c r="L4" t="inlineStr">
        <is>
          <t>NO</t>
        </is>
      </c>
    </row>
    <row r="5">
      <c r="A5" t="inlineStr">
        <is>
          <t>FT26-LED01_CURVO-004</t>
        </is>
      </c>
      <c r="B5" t="inlineStr">
        <is>
          <t>LED 1 — Frente / Curvo</t>
        </is>
      </c>
      <c r="C5" t="inlineStr">
        <is>
          <t>Fórmulas Especiais</t>
        </is>
      </c>
      <c r="L5" t="inlineStr">
        <is>
          <t>NO</t>
        </is>
      </c>
    </row>
    <row r="6">
      <c r="A6" t="inlineStr">
        <is>
          <t>FT26-LED01_CURVO-005</t>
        </is>
      </c>
      <c r="B6" t="inlineStr">
        <is>
          <t>LED 1 — Frente / Curvo</t>
        </is>
      </c>
      <c r="C6" t="inlineStr">
        <is>
          <t>Ninho Fases</t>
        </is>
      </c>
      <c r="L6" t="inlineStr">
        <is>
          <t>NO</t>
        </is>
      </c>
    </row>
    <row r="7">
      <c r="A7" t="inlineStr">
        <is>
          <t>FT26-LED01_CURVO-006</t>
        </is>
      </c>
      <c r="B7" t="inlineStr">
        <is>
          <t>LED 1 — Frente / Curvo</t>
        </is>
      </c>
      <c r="C7" t="inlineStr">
        <is>
          <t>Materna</t>
        </is>
      </c>
      <c r="L7" t="inlineStr">
        <is>
          <t>NO</t>
        </is>
      </c>
    </row>
    <row r="8">
      <c r="A8" t="inlineStr">
        <is>
          <t>FT26-LED01_CURVO-007</t>
        </is>
      </c>
      <c r="B8" t="inlineStr">
        <is>
          <t>LED 1 — Frente / Curvo</t>
        </is>
      </c>
      <c r="C8" t="inlineStr">
        <is>
          <t>Ascenda</t>
        </is>
      </c>
      <c r="L8" t="inlineStr">
        <is>
          <t>NO</t>
        </is>
      </c>
    </row>
    <row r="9">
      <c r="A9" t="inlineStr">
        <is>
          <t>FT26-LED01_CURVO-008</t>
        </is>
      </c>
      <c r="B9" t="inlineStr">
        <is>
          <t>LED 1 — Frente / Curvo</t>
        </is>
      </c>
      <c r="C9" t="inlineStr">
        <is>
          <t>Nestlé Vital</t>
        </is>
      </c>
      <c r="L9" t="inlineStr">
        <is>
          <t>NO</t>
        </is>
      </c>
    </row>
    <row r="10">
      <c r="A10" t="inlineStr">
        <is>
          <t>FT26-LED01_CURVO-009</t>
        </is>
      </c>
      <c r="B10" t="inlineStr">
        <is>
          <t>LED 1 — Frente / Curvo</t>
        </is>
      </c>
      <c r="C10" t="inlineStr">
        <is>
          <t>Nutren Proteín RTD</t>
        </is>
      </c>
      <c r="L10" t="inlineStr">
        <is>
          <t>NO</t>
        </is>
      </c>
    </row>
    <row r="11">
      <c r="A11" t="inlineStr">
        <is>
          <t>FT26-LED01_CURVO-010</t>
        </is>
      </c>
      <c r="B11" t="inlineStr">
        <is>
          <t>LED 1 — Frente / Curvo</t>
        </is>
      </c>
      <c r="C11" t="inlineStr">
        <is>
          <t>Nutren Proteín Creatina</t>
        </is>
      </c>
      <c r="L11" t="inlineStr">
        <is>
          <t>NO</t>
        </is>
      </c>
    </row>
    <row r="12">
      <c r="A12" t="inlineStr">
        <is>
          <t>FT26-LED01_CURVO-011</t>
        </is>
      </c>
      <c r="B12" t="inlineStr">
        <is>
          <t>LED 1 — Frente / Curvo</t>
        </is>
      </c>
      <c r="C12" t="inlineStr">
        <is>
          <t>Nutren Sênior</t>
        </is>
      </c>
      <c r="L12" t="inlineStr">
        <is>
          <t>NO</t>
        </is>
      </c>
    </row>
    <row r="13">
      <c r="A13" t="inlineStr">
        <is>
          <t>FT26-LED01_CURVO-012</t>
        </is>
      </c>
      <c r="B13" t="inlineStr">
        <is>
          <t>LED 1 — Frente / Curvo</t>
        </is>
      </c>
      <c r="C13" t="inlineStr">
        <is>
          <t>Puravida Whey Concentrado</t>
        </is>
      </c>
      <c r="L13" t="inlineStr">
        <is>
          <t>NO</t>
        </is>
      </c>
    </row>
    <row r="14">
      <c r="A14" t="inlineStr">
        <is>
          <t>FT26-LED01_CURVO-013</t>
        </is>
      </c>
      <c r="B14" t="inlineStr">
        <is>
          <t>LED 1 — Frente / Curvo</t>
        </is>
      </c>
      <c r="C14" t="inlineStr">
        <is>
          <t>Mucilon</t>
        </is>
      </c>
      <c r="L14" t="inlineStr">
        <is>
          <t>NO</t>
        </is>
      </c>
    </row>
    <row r="15">
      <c r="A15" t="inlineStr">
        <is>
          <t>FT26-LED01_CURVO-014</t>
        </is>
      </c>
      <c r="B15" t="inlineStr">
        <is>
          <t>LED 1 — Frente / Curvo</t>
        </is>
      </c>
      <c r="C15" t="inlineStr">
        <is>
          <t>Nestogeno</t>
        </is>
      </c>
      <c r="L15" t="inlineStr">
        <is>
          <t>NO</t>
        </is>
      </c>
    </row>
    <row r="16">
      <c r="A16" t="inlineStr">
        <is>
          <t>FT26-LED01_CURVO-015</t>
        </is>
      </c>
      <c r="B16" t="inlineStr">
        <is>
          <t>LED 1 — Frente / Curvo</t>
        </is>
      </c>
      <c r="C16" t="inlineStr">
        <is>
          <t>Nanlac</t>
        </is>
      </c>
      <c r="L16" t="inlineStr">
        <is>
          <t>NO</t>
        </is>
      </c>
    </row>
    <row r="17">
      <c r="A17" t="inlineStr">
        <is>
          <t>FT26-LED02_BALCAO_RECEITAS-016</t>
        </is>
      </c>
      <c r="B17" t="inlineStr">
        <is>
          <t>LED 2 — Balcão de Receitas</t>
        </is>
      </c>
      <c r="C17" t="inlineStr">
        <is>
          <t>Puravida Whey</t>
        </is>
      </c>
      <c r="L17" t="inlineStr">
        <is>
          <t>NO</t>
        </is>
      </c>
    </row>
    <row r="18">
      <c r="A18" t="inlineStr">
        <is>
          <t>FT26-LED02_BALCAO_RECEITAS-017</t>
        </is>
      </c>
      <c r="B18" t="inlineStr">
        <is>
          <t>LED 2 — Balcão de Receitas</t>
        </is>
      </c>
      <c r="C18" t="inlineStr">
        <is>
          <t>Nutren Sênior</t>
        </is>
      </c>
      <c r="L18" t="inlineStr">
        <is>
          <t>NO</t>
        </is>
      </c>
    </row>
    <row r="19">
      <c r="A19" t="inlineStr">
        <is>
          <t>FT26-LED02_BALCAO_RECEITAS-018</t>
        </is>
      </c>
      <c r="B19" t="inlineStr">
        <is>
          <t>LED 2 — Balcão de Receitas</t>
        </is>
      </c>
      <c r="C19" t="inlineStr">
        <is>
          <t>Molico</t>
        </is>
      </c>
      <c r="L19" t="inlineStr">
        <is>
          <t>NO</t>
        </is>
      </c>
    </row>
    <row r="20">
      <c r="A20" t="inlineStr">
        <is>
          <t>FT26-LED02_BALCAO_RECEITAS-019</t>
        </is>
      </c>
      <c r="B20" t="inlineStr">
        <is>
          <t>LED 2 — Balcão de Receitas</t>
        </is>
      </c>
      <c r="C20" t="inlineStr">
        <is>
          <t>Vital</t>
        </is>
      </c>
      <c r="L20" t="inlineStr">
        <is>
          <t>NO</t>
        </is>
      </c>
    </row>
    <row r="21">
      <c r="A21" t="inlineStr">
        <is>
          <t>FT26-LED02_BALCAO_RECEITAS-020</t>
        </is>
      </c>
      <c r="B21" t="inlineStr">
        <is>
          <t>LED 2 — Balcão de Receitas</t>
        </is>
      </c>
      <c r="C21" t="inlineStr">
        <is>
          <t>Nutren Protein RTD</t>
        </is>
      </c>
      <c r="L21" t="inlineStr">
        <is>
          <t>NO</t>
        </is>
      </c>
    </row>
    <row r="22">
      <c r="A22" t="inlineStr">
        <is>
          <t>FT26-LED02_BALCAO_RECEITAS-021</t>
        </is>
      </c>
      <c r="B22" t="inlineStr">
        <is>
          <t>LED 2 — Balcão de Receitas</t>
        </is>
      </c>
      <c r="C22" t="inlineStr">
        <is>
          <t>Nestlé Chocolates</t>
        </is>
      </c>
      <c r="L22" t="inlineStr">
        <is>
          <t>NO</t>
        </is>
      </c>
    </row>
    <row r="23">
      <c r="A23" t="inlineStr">
        <is>
          <t>FT26-LED02_BALCAO_RECEITAS-022</t>
        </is>
      </c>
      <c r="B23" t="inlineStr">
        <is>
          <t>LED 2 — Balcão de Receitas</t>
        </is>
      </c>
      <c r="C23" t="inlineStr">
        <is>
          <t>Nescafé Pro Energy</t>
        </is>
      </c>
      <c r="L23" t="inlineStr">
        <is>
          <t>NO</t>
        </is>
      </c>
    </row>
    <row r="24">
      <c r="A24" t="inlineStr">
        <is>
          <t>FT26-LED02_BALCAO_RECEITAS-023</t>
        </is>
      </c>
      <c r="B24" t="inlineStr">
        <is>
          <t>LED 2 — Balcão de Receitas</t>
        </is>
      </c>
      <c r="C24" t="inlineStr">
        <is>
          <t>Nescau Protein RTD</t>
        </is>
      </c>
      <c r="L24" t="inlineStr">
        <is>
          <t>NO</t>
        </is>
      </c>
    </row>
    <row r="25">
      <c r="A25" t="inlineStr">
        <is>
          <t>FT26-LED02_BALCAO_RECEITAS-024</t>
        </is>
      </c>
      <c r="B25" t="inlineStr">
        <is>
          <t>LED 2 — Balcão de Receitas</t>
        </is>
      </c>
      <c r="C25" t="inlineStr">
        <is>
          <t>Nutren Creatina</t>
        </is>
      </c>
      <c r="L25" t="inlineStr">
        <is>
          <t>NO</t>
        </is>
      </c>
    </row>
    <row r="26">
      <c r="A26" t="inlineStr">
        <is>
          <t>FT26-LED03_CORREDOR_GLP1-025</t>
        </is>
      </c>
      <c r="B26" t="inlineStr">
        <is>
          <t>LED 3 — Corredor / GLP-1</t>
        </is>
      </c>
      <c r="C26" t="inlineStr">
        <is>
          <t>Vital</t>
        </is>
      </c>
      <c r="L26" t="inlineStr">
        <is>
          <t>NO</t>
        </is>
      </c>
    </row>
    <row r="27">
      <c r="A27" t="inlineStr">
        <is>
          <t>FT26-LED03_CORREDOR_GLP1-026</t>
        </is>
      </c>
      <c r="B27" t="inlineStr">
        <is>
          <t>LED 3 — Corredor / GLP-1</t>
        </is>
      </c>
      <c r="C27" t="inlineStr">
        <is>
          <t>Nutren Control</t>
        </is>
      </c>
      <c r="L27" t="inlineStr">
        <is>
          <t>NO</t>
        </is>
      </c>
    </row>
    <row r="28">
      <c r="A28" t="inlineStr">
        <is>
          <t>FT26-LED03_CORREDOR_GLP1-027</t>
        </is>
      </c>
      <c r="B28" t="inlineStr">
        <is>
          <t>LED 3 — Corredor / GLP-1</t>
        </is>
      </c>
      <c r="C28" t="inlineStr">
        <is>
          <t>Nutren Capsulas</t>
        </is>
      </c>
      <c r="L28" t="inlineStr">
        <is>
          <t>NO</t>
        </is>
      </c>
    </row>
    <row r="29">
      <c r="A29" t="inlineStr">
        <is>
          <t>FT26-LED03_CORREDOR_GLP1-028</t>
        </is>
      </c>
      <c r="B29" t="inlineStr">
        <is>
          <t>LED 3 — Corredor / GLP-1</t>
        </is>
      </c>
      <c r="C29" t="inlineStr">
        <is>
          <t>Materna</t>
        </is>
      </c>
      <c r="L29" t="inlineStr">
        <is>
          <t>NO</t>
        </is>
      </c>
    </row>
    <row r="30">
      <c r="A30" t="inlineStr">
        <is>
          <t>FT26-LED03_CORREDOR_GLP1-029</t>
        </is>
      </c>
      <c r="B30" t="inlineStr">
        <is>
          <t>LED 3 — Corredor / GLP-1</t>
        </is>
      </c>
      <c r="C30" t="inlineStr">
        <is>
          <t>Puravida (Portfólio completo)</t>
        </is>
      </c>
      <c r="L30" t="inlineStr">
        <is>
          <t>NO</t>
        </is>
      </c>
    </row>
    <row r="31">
      <c r="A31" t="inlineStr">
        <is>
          <t>FT26-LED03_CORREDOR_GLP1-030</t>
        </is>
      </c>
      <c r="B31" t="inlineStr">
        <is>
          <t>LED 3 — Corredor / GLP-1</t>
        </is>
      </c>
      <c r="C31" t="inlineStr">
        <is>
          <t>Molico</t>
        </is>
      </c>
      <c r="L31" t="inlineStr">
        <is>
          <t>NO</t>
        </is>
      </c>
    </row>
    <row r="32">
      <c r="A32" t="inlineStr">
        <is>
          <t>FT26-LED04_PAINEL_INTERATIVO-031</t>
        </is>
      </c>
      <c r="B32" t="inlineStr">
        <is>
          <t>LED 4 — Painel Interativo</t>
        </is>
      </c>
      <c r="C32" t="inlineStr">
        <is>
          <t>Intro Nina</t>
        </is>
      </c>
      <c r="L32" t="inlineStr">
        <is>
          <t>NO</t>
        </is>
      </c>
    </row>
    <row r="33">
      <c r="A33" t="inlineStr">
        <is>
          <t>FT26-LED04_PAINEL_INTERATIVO-032</t>
        </is>
      </c>
      <c r="B33" t="inlineStr">
        <is>
          <t>LED 4 — Painel Interativo</t>
        </is>
      </c>
      <c r="C33" t="inlineStr">
        <is>
          <t>Materna</t>
        </is>
      </c>
      <c r="L33" t="inlineStr">
        <is>
          <t>NO</t>
        </is>
      </c>
    </row>
    <row r="34">
      <c r="A34" t="inlineStr">
        <is>
          <t>FT26-LED04_PAINEL_INTERATIVO-033</t>
        </is>
      </c>
      <c r="B34" t="inlineStr">
        <is>
          <t>LED 4 — Painel Interativo</t>
        </is>
      </c>
      <c r="C34" t="inlineStr">
        <is>
          <t>Nan Science PRO e APLV</t>
        </is>
      </c>
      <c r="L34" t="inlineStr">
        <is>
          <t>NO</t>
        </is>
      </c>
    </row>
    <row r="35">
      <c r="A35" t="inlineStr">
        <is>
          <t>FT26-LED04_PAINEL_INTERATIVO-034</t>
        </is>
      </c>
      <c r="B35" t="inlineStr">
        <is>
          <t>LED 4 — Painel Interativo</t>
        </is>
      </c>
      <c r="C35" t="inlineStr">
        <is>
          <t>Comfor</t>
        </is>
      </c>
      <c r="L35" t="inlineStr">
        <is>
          <t>NO</t>
        </is>
      </c>
    </row>
    <row r="36">
      <c r="A36" t="inlineStr">
        <is>
          <t>FT26-LED04_PAINEL_INTERATIVO-035</t>
        </is>
      </c>
      <c r="B36" t="inlineStr">
        <is>
          <t>LED 4 — Painel Interativo</t>
        </is>
      </c>
      <c r="C36" t="inlineStr">
        <is>
          <t>Supreme</t>
        </is>
      </c>
      <c r="L36" t="inlineStr">
        <is>
          <t>NO</t>
        </is>
      </c>
    </row>
    <row r="37">
      <c r="A37" t="inlineStr">
        <is>
          <t>FT26-LED04_PAINEL_INTERATIVO-036</t>
        </is>
      </c>
      <c r="B37" t="inlineStr">
        <is>
          <t>LED 4 — Painel Interativo</t>
        </is>
      </c>
      <c r="C37" t="inlineStr">
        <is>
          <t>Ninho Fases 1+ e 3+</t>
        </is>
      </c>
      <c r="L37" t="inlineStr">
        <is>
          <t>NO</t>
        </is>
      </c>
    </row>
    <row r="38">
      <c r="A38" t="inlineStr">
        <is>
          <t>FT26-LED04_PAINEL_INTERATIVO-037</t>
        </is>
      </c>
      <c r="B38" t="inlineStr">
        <is>
          <t>LED 4 — Painel Interativo</t>
        </is>
      </c>
      <c r="C38" t="inlineStr">
        <is>
          <t>Vital</t>
        </is>
      </c>
      <c r="L38" t="inlineStr">
        <is>
          <t>NO</t>
        </is>
      </c>
    </row>
    <row r="39">
      <c r="A39" t="inlineStr">
        <is>
          <t>FT26-LED04_PAINEL_INTERATIVO-038</t>
        </is>
      </c>
      <c r="B39" t="inlineStr">
        <is>
          <t>LED 4 — Painel Interativo</t>
        </is>
      </c>
      <c r="C39" t="inlineStr">
        <is>
          <t>Nutren Protein e Nutren Creatina</t>
        </is>
      </c>
      <c r="L39" t="inlineStr">
        <is>
          <t>NO</t>
        </is>
      </c>
    </row>
    <row r="40">
      <c r="A40" t="inlineStr">
        <is>
          <t>FT26-LED04_PAINEL_INTERATIVO-039</t>
        </is>
      </c>
      <c r="B40" t="inlineStr">
        <is>
          <t>LED 4 — Painel Interativo</t>
        </is>
      </c>
      <c r="C40" t="inlineStr">
        <is>
          <t>Whey Protein Puravida</t>
        </is>
      </c>
      <c r="L40" t="inlineStr">
        <is>
          <t>NO</t>
        </is>
      </c>
    </row>
    <row r="41">
      <c r="A41" t="inlineStr">
        <is>
          <t>FT26-LED04_PAINEL_INTERATIVO-040</t>
        </is>
      </c>
      <c r="B41" t="inlineStr">
        <is>
          <t>LED 4 — Painel Interativo</t>
        </is>
      </c>
      <c r="C41" t="inlineStr">
        <is>
          <t>Nutren Sênior</t>
        </is>
      </c>
      <c r="L41" t="inlineStr">
        <is>
          <t>NO</t>
        </is>
      </c>
    </row>
    <row r="42">
      <c r="A42" t="inlineStr">
        <is>
          <t>FT26-LEDS_GONDOLAS-041</t>
        </is>
      </c>
      <c r="B42" t="inlineStr">
        <is>
          <t>LEDs de Gôndolas</t>
        </is>
      </c>
      <c r="C42" t="inlineStr">
        <is>
          <t>Materna</t>
        </is>
      </c>
      <c r="L42" t="inlineStr">
        <is>
          <t>NO</t>
        </is>
      </c>
    </row>
    <row r="43">
      <c r="A43" t="inlineStr">
        <is>
          <t>FT26-LEDS_GONDOLAS-042</t>
        </is>
      </c>
      <c r="B43" t="inlineStr">
        <is>
          <t>LEDs de Gôndolas</t>
        </is>
      </c>
      <c r="C43" t="inlineStr">
        <is>
          <t>Nutren Vitaminas</t>
        </is>
      </c>
      <c r="L43" t="inlineStr">
        <is>
          <t>NO</t>
        </is>
      </c>
    </row>
    <row r="44">
      <c r="A44" t="inlineStr">
        <is>
          <t>FT26-LEDS_GONDOLAS-043</t>
        </is>
      </c>
      <c r="B44" t="inlineStr">
        <is>
          <t>LEDs de Gôndolas</t>
        </is>
      </c>
      <c r="C44" t="inlineStr">
        <is>
          <t>Fiber Mais</t>
        </is>
      </c>
      <c r="L44" t="inlineStr">
        <is>
          <t>NO</t>
        </is>
      </c>
    </row>
    <row r="45">
      <c r="A45" t="inlineStr">
        <is>
          <t>FT26-LEDS_GONDOLAS-044</t>
        </is>
      </c>
      <c r="B45" t="inlineStr">
        <is>
          <t>LEDs de Gôndolas</t>
        </is>
      </c>
      <c r="C45" t="inlineStr">
        <is>
          <t>Nanlac Supreme Pro</t>
        </is>
      </c>
      <c r="L45" t="inlineStr">
        <is>
          <t>NO</t>
        </is>
      </c>
    </row>
    <row r="46">
      <c r="A46" t="inlineStr">
        <is>
          <t>FT26-LEDS_GONDOLAS-045</t>
        </is>
      </c>
      <c r="B46" t="inlineStr">
        <is>
          <t>LEDs de Gôndolas</t>
        </is>
      </c>
      <c r="C46" t="inlineStr">
        <is>
          <t>Nanlac Comfor</t>
        </is>
      </c>
      <c r="L46" t="inlineStr">
        <is>
          <t>NO</t>
        </is>
      </c>
    </row>
    <row r="47">
      <c r="A47" t="inlineStr">
        <is>
          <t>FT26-LEDS_GONDOLAS-046</t>
        </is>
      </c>
      <c r="B47" t="inlineStr">
        <is>
          <t>LEDs de Gôndolas</t>
        </is>
      </c>
      <c r="C47" t="inlineStr">
        <is>
          <t>Nestogeno e Nestonutri</t>
        </is>
      </c>
      <c r="L47" t="inlineStr">
        <is>
          <t>NO</t>
        </is>
      </c>
    </row>
    <row r="48">
      <c r="A48" t="inlineStr">
        <is>
          <t>FT26-LEDS_GONDOLAS-047</t>
        </is>
      </c>
      <c r="B48" t="inlineStr">
        <is>
          <t>LEDs de Gôndolas</t>
        </is>
      </c>
      <c r="C48" t="inlineStr">
        <is>
          <t>Nescafé Pró Energy</t>
        </is>
      </c>
      <c r="L48" t="inlineStr">
        <is>
          <t>NO</t>
        </is>
      </c>
    </row>
    <row r="49">
      <c r="A49" t="inlineStr">
        <is>
          <t>FT26-LEDS_GONDOLAS-048</t>
        </is>
      </c>
      <c r="B49" t="inlineStr">
        <is>
          <t>LEDs de Gôndolas</t>
        </is>
      </c>
      <c r="C49" t="inlineStr">
        <is>
          <t>Nescau Protein</t>
        </is>
      </c>
      <c r="L49" t="inlineStr">
        <is>
          <t>NO</t>
        </is>
      </c>
    </row>
    <row r="50">
      <c r="A50" t="inlineStr">
        <is>
          <t>FT26-LEDS_GONDOLAS-049</t>
        </is>
      </c>
      <c r="B50" t="inlineStr">
        <is>
          <t>LEDs de Gôndolas</t>
        </is>
      </c>
      <c r="C50" t="inlineStr">
        <is>
          <t>Aveias</t>
        </is>
      </c>
      <c r="L50" t="inlineStr">
        <is>
          <t>NO</t>
        </is>
      </c>
    </row>
    <row r="51">
      <c r="A51" t="inlineStr">
        <is>
          <t>FT26-LEDS_GONDOLAS-050</t>
        </is>
      </c>
      <c r="B51" t="inlineStr">
        <is>
          <t>LEDs de Gôndolas</t>
        </is>
      </c>
      <c r="C51" t="inlineStr">
        <is>
          <t>Puravida</t>
        </is>
      </c>
      <c r="L51" t="inlineStr">
        <is>
          <t>NO</t>
        </is>
      </c>
    </row>
    <row r="52">
      <c r="A52" t="inlineStr">
        <is>
          <t>FT26-LEDS_GONDOLAS-051</t>
        </is>
      </c>
      <c r="B52" t="inlineStr">
        <is>
          <t>LEDs de Gôndolas</t>
        </is>
      </c>
      <c r="C52" t="inlineStr">
        <is>
          <t>Molico</t>
        </is>
      </c>
      <c r="L52" t="inlineStr">
        <is>
          <t>NO</t>
        </is>
      </c>
    </row>
    <row r="53">
      <c r="A53" t="inlineStr">
        <is>
          <t>FT26-LEDS_GONDOLAS-052</t>
        </is>
      </c>
      <c r="B53" t="inlineStr">
        <is>
          <t>LEDs de Gôndolas</t>
        </is>
      </c>
      <c r="C53" t="inlineStr">
        <is>
          <t>Ascenda</t>
        </is>
      </c>
      <c r="L53" t="inlineStr">
        <is>
          <t>NO</t>
        </is>
      </c>
    </row>
    <row r="54">
      <c r="A54" t="inlineStr">
        <is>
          <t>FT26-LEDS_GONDOLAS-053</t>
        </is>
      </c>
      <c r="B54" t="inlineStr">
        <is>
          <t>LEDs de Gôndolas</t>
        </is>
      </c>
      <c r="C54" t="inlineStr">
        <is>
          <t>Vital</t>
        </is>
      </c>
      <c r="L54" t="inlineStr">
        <is>
          <t>NO</t>
        </is>
      </c>
    </row>
    <row r="55">
      <c r="A55" t="inlineStr">
        <is>
          <t>FT26-LED_NINHO-054</t>
        </is>
      </c>
      <c r="B55" t="inlineStr">
        <is>
          <t>LED Ninho — Patrulha Canina</t>
        </is>
      </c>
      <c r="C55" t="inlineStr">
        <is>
          <t>Ninho - Patrulha Canina</t>
        </is>
      </c>
      <c r="L55" t="inlineStr">
        <is>
          <t>NO</t>
        </is>
      </c>
    </row>
    <row r="56">
      <c r="A56" t="inlineStr">
        <is>
          <t>FT26-TV_SALA_VIP-055</t>
        </is>
      </c>
      <c r="B56" t="inlineStr">
        <is>
          <t>TV Sala VIP — 4K QLED</t>
        </is>
      </c>
      <c r="C56" t="inlineStr">
        <is>
          <t>Logo Nestlé - intercalando com os passaros voando e Nutrition and Health a número 01 em Nutrição no Brasil e no Mundo.</t>
        </is>
      </c>
      <c r="L56" t="inlineStr">
        <is>
          <t>NO</t>
        </is>
      </c>
    </row>
  </sheetData>
  <dataValidations count="1">
    <dataValidation sqref="L2:L56" showDropDown="0" showInputMessage="0" showErrorMessage="0" allowBlank="0" type="list">
      <formula1>"NO,YES"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6" t="inlineStr">
        <is>
          <t>Production_Status</t>
        </is>
      </c>
      <c r="B1" s="6" t="inlineStr">
        <is>
          <t>Approval_Status</t>
        </is>
      </c>
      <c r="C1" s="6" t="inlineStr">
        <is>
          <t>Legal_Status</t>
        </is>
      </c>
      <c r="D1" s="6" t="inlineStr">
        <is>
          <t>Tech_Status</t>
        </is>
      </c>
      <c r="E1" s="6" t="inlineStr">
        <is>
          <t>Priority</t>
        </is>
      </c>
      <c r="F1" s="6" t="inlineStr">
        <is>
          <t>Complexity</t>
        </is>
      </c>
      <c r="G1" s="6" t="inlineStr">
        <is>
          <t>Input_Status</t>
        </is>
      </c>
      <c r="H1" s="6" t="inlineStr">
        <is>
          <t>Risk_Level</t>
        </is>
      </c>
      <c r="I1" s="6" t="inlineStr">
        <is>
          <t>Risk_Status</t>
        </is>
      </c>
      <c r="J1" s="6" t="inlineStr">
        <is>
          <t>QA_Result</t>
        </is>
      </c>
    </row>
    <row r="2">
      <c r="A2" t="inlineStr">
        <is>
          <t>NEEDS_TRIAGE</t>
        </is>
      </c>
      <c r="B2" t="inlineStr">
        <is>
          <t>NOT_SUBMITTED</t>
        </is>
      </c>
      <c r="C2" t="inlineStr">
        <is>
          <t>PENDING</t>
        </is>
      </c>
      <c r="D2" t="inlineStr">
        <is>
          <t>PENDING</t>
        </is>
      </c>
      <c r="E2" t="inlineStr">
        <is>
          <t>LOW</t>
        </is>
      </c>
      <c r="F2" t="inlineStr">
        <is>
          <t>A_ADAPTATION</t>
        </is>
      </c>
      <c r="G2" t="inlineStr">
        <is>
          <t>NEEDS_TRIAGE</t>
        </is>
      </c>
      <c r="H2" t="inlineStr">
        <is>
          <t>LOW</t>
        </is>
      </c>
      <c r="I2" t="inlineStr">
        <is>
          <t>Open</t>
        </is>
      </c>
      <c r="J2" t="inlineStr">
        <is>
          <t>PENDING</t>
        </is>
      </c>
    </row>
    <row r="3">
      <c r="A3" t="inlineStr">
        <is>
          <t>BLOCKED</t>
        </is>
      </c>
      <c r="B3" t="inlineStr">
        <is>
          <t>IN_REVIEW</t>
        </is>
      </c>
      <c r="C3" t="inlineStr">
        <is>
          <t>IN_REVIEW</t>
        </is>
      </c>
      <c r="D3" t="inlineStr">
        <is>
          <t>IN_REVIEW</t>
        </is>
      </c>
      <c r="E3" t="inlineStr">
        <is>
          <t>MEDIUM</t>
        </is>
      </c>
      <c r="F3" t="inlineStr">
        <is>
          <t>B_MOTION_KV</t>
        </is>
      </c>
      <c r="G3" t="inlineStr">
        <is>
          <t>WAITING_INPUT</t>
        </is>
      </c>
      <c r="H3" t="inlineStr">
        <is>
          <t>MEDIUM</t>
        </is>
      </c>
      <c r="I3" t="inlineStr">
        <is>
          <t>Monitoring</t>
        </is>
      </c>
      <c r="J3" t="inlineStr">
        <is>
          <t>PASSED</t>
        </is>
      </c>
    </row>
    <row r="4">
      <c r="A4" t="inlineStr">
        <is>
          <t>READY_FOR_PREPROD</t>
        </is>
      </c>
      <c r="B4" t="inlineStr">
        <is>
          <t>ADJUSTMENTS</t>
        </is>
      </c>
      <c r="C4" t="inlineStr">
        <is>
          <t>APPROVED</t>
        </is>
      </c>
      <c r="D4" t="inlineStr">
        <is>
          <t>PASSED</t>
        </is>
      </c>
      <c r="E4" t="inlineStr">
        <is>
          <t>HIGH</t>
        </is>
      </c>
      <c r="F4" t="inlineStr">
        <is>
          <t>C_NARRATIVE</t>
        </is>
      </c>
      <c r="G4" t="inlineStr">
        <is>
          <t>PARTIAL_INPUT</t>
        </is>
      </c>
      <c r="H4" t="inlineStr">
        <is>
          <t>HIGH</t>
        </is>
      </c>
      <c r="I4" t="inlineStr">
        <is>
          <t>Mitigated</t>
        </is>
      </c>
      <c r="J4" t="inlineStr">
        <is>
          <t>FAILED</t>
        </is>
      </c>
    </row>
    <row r="5">
      <c r="A5" t="inlineStr">
        <is>
          <t>IN_PRODUCTION</t>
        </is>
      </c>
      <c r="B5" t="inlineStr">
        <is>
          <t>APPROVED</t>
        </is>
      </c>
      <c r="C5" t="inlineStr">
        <is>
          <t>REJECTED</t>
        </is>
      </c>
      <c r="D5" t="inlineStr">
        <is>
          <t>FAILED</t>
        </is>
      </c>
      <c r="E5" t="inlineStr">
        <is>
          <t>CRITICAL</t>
        </is>
      </c>
      <c r="F5" t="inlineStr">
        <is>
          <t>D_INTERACTIVE</t>
        </is>
      </c>
      <c r="G5" t="inlineStr">
        <is>
          <t>INPUT_RECEIVED</t>
        </is>
      </c>
      <c r="I5" t="inlineStr">
        <is>
          <t>Closed</t>
        </is>
      </c>
      <c r="J5" t="inlineStr">
        <is>
          <t>PASSED_WITH_NOTES</t>
        </is>
      </c>
    </row>
    <row r="6">
      <c r="A6" t="inlineStr">
        <is>
          <t>INTERNAL_QA</t>
        </is>
      </c>
      <c r="B6" t="inlineStr">
        <is>
          <t>REJECTED</t>
        </is>
      </c>
      <c r="C6" t="inlineStr">
        <is>
          <t>NOT_APPLICABLE</t>
        </is>
      </c>
      <c r="D6" t="inlineStr">
        <is>
          <t>NOT_APPLICABLE</t>
        </is>
      </c>
      <c r="G6" t="inlineStr">
        <is>
          <t>INPUT_READY</t>
        </is>
      </c>
    </row>
    <row r="7">
      <c r="A7" t="inlineStr">
        <is>
          <t>CLIENT_REVIEW</t>
        </is>
      </c>
    </row>
    <row r="8">
      <c r="A8" t="inlineStr">
        <is>
          <t>APPROVED</t>
        </is>
      </c>
    </row>
    <row r="9">
      <c r="A9" t="inlineStr">
        <is>
          <t>TECH_QA</t>
        </is>
      </c>
    </row>
    <row r="10">
      <c r="A10" t="inlineStr">
        <is>
          <t>DELIVERED</t>
        </is>
      </c>
    </row>
    <row r="11">
      <c r="A11" t="inlineStr">
        <is>
          <t>ARCHIVED</t>
        </is>
      </c>
    </row>
    <row r="12">
      <c r="A12" t="inlineStr">
        <is>
          <t>REMOVED_PENDING_CONFIRMATION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2026-08-05T15:22:28Z</dcterms:created>
  <dcterms:modified xmlns:dcterms="http://purl.org/dc/terms/" xmlns:xsi="http://www.w3.org/2001/XMLSchema-instance" xsi:type="dcterms:W3CDTF">2026-08-05T15:22:28Z</dcterms:modified>
</cp:coreProperties>
</file>